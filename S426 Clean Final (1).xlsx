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juan benedict\Downloads\"/>
    </mc:Choice>
  </mc:AlternateContent>
  <xr:revisionPtr revIDLastSave="0" documentId="13_ncr:1_{0D923B75-61F0-4803-99FB-78B1EF57B052}" xr6:coauthVersionLast="47" xr6:coauthVersionMax="47" xr10:uidLastSave="{00000000-0000-0000-0000-000000000000}"/>
  <bookViews>
    <workbookView xWindow="-110" yWindow="-110" windowWidth="25820" windowHeight="15500" tabRatio="774" activeTab="10" xr2:uid="{F19CCE47-84FC-425C-B204-73CAAF6867C1}"/>
  </bookViews>
  <sheets>
    <sheet name="students" sheetId="3" r:id="rId1"/>
    <sheet name="grades" sheetId="6" r:id="rId2"/>
    <sheet name="lifestyle" sheetId="2" r:id="rId3"/>
    <sheet name="family_background" sheetId="7" r:id="rId4"/>
    <sheet name="school_life" sheetId="5" r:id="rId5"/>
    <sheet name="schools" sheetId="4" r:id="rId6"/>
    <sheet name="Data &amp; Logs" sheetId="1" r:id="rId7"/>
    <sheet name="Analysis" sheetId="8" r:id="rId8"/>
    <sheet name="WhatIf_Analysis" sheetId="9" r:id="rId9"/>
    <sheet name="Charts" sheetId="10" r:id="rId10"/>
    <sheet name="Dashboard" sheetId="11" r:id="rId11"/>
    <sheet name="Pivot_Source" sheetId="12" r:id="rId12"/>
  </sheets>
  <definedNames>
    <definedName name="_xlcn.WorksheetConnection_S426.xlsxtbl_FamilyBackground1" hidden="1">tbl_FamilyBackground[]</definedName>
    <definedName name="_xlcn.WorksheetConnection_S426.xlsxtbl_Grades1" hidden="1">tbl_Grades[]</definedName>
    <definedName name="_xlcn.WorksheetConnection_S426.xlsxtbl_Lifestyle1" hidden="1">tbl_Lifestyle[]</definedName>
    <definedName name="_xlcn.WorksheetConnection_S426.xlsxtbl_SchoolLife1" hidden="1">tbl_SchoolLife[]</definedName>
    <definedName name="_xlcn.WorksheetConnection_S426.xlsxtbl_Schools1" hidden="1">tbl_Schools[]</definedName>
    <definedName name="_xlcn.WorksheetConnection_S426.xlsxtbl_Students1" hidden="1">tbl_Students[]</definedName>
    <definedName name="ExternalData_1" localSheetId="2" hidden="1">lifestyle!$A$1:$K$396</definedName>
    <definedName name="ExternalData_1" localSheetId="4" hidden="1">school_life!$A$1:$J$396</definedName>
    <definedName name="ExternalData_2" localSheetId="1" hidden="1">grades!$A$1:$D$396</definedName>
    <definedName name="ExternalData_2" localSheetId="0" hidden="1">students!$A$1:$H$396</definedName>
    <definedName name="ExternalData_3" localSheetId="3" hidden="1">family_background!$A$1:$E$396</definedName>
    <definedName name="ExternalData_3" localSheetId="5" hidden="1">schools!$A$1:$C$3</definedName>
    <definedName name="FinalGrades">tbl_Grades[final_grade]</definedName>
    <definedName name="Slicer_address_type">#N/A</definedName>
    <definedName name="Slicer_guardian">#N/A</definedName>
    <definedName name="Slicer_sex">#N/A</definedName>
    <definedName name="StudentAbsences">tbl_Lifestyle[absences]</definedName>
  </definedNames>
  <calcPr calcId="191029"/>
  <pivotCaches>
    <pivotCache cacheId="0" r:id="rId13"/>
    <pivotCache cacheId="1" r:id="rId14"/>
    <pivotCache cacheId="2" r:id="rId15"/>
    <pivotCache cacheId="3" r:id="rId16"/>
    <pivotCache cacheId="4" r:id="rId17"/>
    <pivotCache cacheId="5" r:id="rId18"/>
    <pivotCache cacheId="6" r:id="rId19"/>
  </pivotCaches>
  <extLst>
    <ext xmlns:x14="http://schemas.microsoft.com/office/spreadsheetml/2009/9/main" uri="{876F7934-8845-4945-9796-88D515C7AA90}">
      <x14:pivotCaches>
        <pivotCache cacheId="7" r:id="rId20"/>
        <pivotCache cacheId="8" r:id="rId21"/>
        <pivotCache cacheId="9"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Students" name="tbl_Students" connection="WorksheetConnection_S426.xlsx!tbl_Students"/>
          <x15:modelTable id="tbl_Schools" name="tbl_Schools" connection="WorksheetConnection_S426.xlsx!tbl_Schools"/>
          <x15:modelTable id="tbl_SchoolLife" name="tbl_SchoolLife" connection="WorksheetConnection_S426.xlsx!tbl_SchoolLife"/>
          <x15:modelTable id="tbl_Lifestyle" name="tbl_Lifestyle" connection="WorksheetConnection_S426.xlsx!tbl_Lifestyle"/>
          <x15:modelTable id="tbl_Grades" name="tbl_Grades" connection="WorksheetConnection_S426.xlsx!tbl_Grades"/>
          <x15:modelTable id="tbl_FamilyBackground" name="tbl_FamilyBackground" connection="WorksheetConnection_S426.xlsx!tbl_FamilyBackground"/>
        </x15:modelTables>
        <x15:modelRelationships>
          <x15:modelRelationship fromTable="tbl_Students" fromColumn="school_id" toTable="tbl_Schools" toColumn="school_id"/>
          <x15:modelRelationship fromTable="tbl_Grades" fromColumn="student_id" toTable="tbl_Students" toColumn="student_id"/>
          <x15:modelRelationship fromTable="tbl_Lifestyle" fromColumn="student_id" toTable="tbl_Students" toColumn="student_id"/>
          <x15:modelRelationship fromTable="tbl_FamilyBackground" fromColumn="student_id" toTable="tbl_Students" toColumn="student_id"/>
          <x15:modelRelationship fromTable="tbl_SchoolLife" fromColumn="student_id" toTable="tbl_Students" toColumn="student_id"/>
        </x15:modelRelationships>
      </x15:dataModel>
    </ext>
  </extLst>
</workbook>
</file>

<file path=xl/calcChain.xml><?xml version="1.0" encoding="utf-8"?>
<calcChain xmlns="http://schemas.openxmlformats.org/spreadsheetml/2006/main">
  <c r="R9" i="11" l="1"/>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R96" i="8" a="1"/>
  <c r="R96" i="8" s="1"/>
  <c r="R95" i="8"/>
  <c r="Q96" i="8" a="1"/>
  <c r="Q96" i="8" s="1"/>
  <c r="Q95" i="8"/>
  <c r="R91" i="8" a="1"/>
  <c r="R91" i="8" s="1"/>
  <c r="R90" i="8" a="1"/>
  <c r="R90" i="8" s="1"/>
  <c r="M24" i="8"/>
  <c r="Q91" i="8"/>
  <c r="Q90" i="8"/>
  <c r="L73" i="8" a="1"/>
  <c r="L73" i="8" s="1"/>
  <c r="M73" i="8" a="1"/>
  <c r="M73" i="8" s="1"/>
  <c r="M48" i="8"/>
  <c r="M49" i="8"/>
  <c r="M25" i="8"/>
  <c r="M26" i="8"/>
  <c r="M4" i="8" a="1"/>
  <c r="M4" i="8" s="1"/>
  <c r="M3" i="8" a="1"/>
  <c r="M3" i="8" s="1"/>
  <c r="C7" i="8" a="1"/>
  <c r="C7" i="8" s="1"/>
  <c r="C15" i="9" a="1"/>
  <c r="C15" i="9" s="1"/>
  <c r="B17" i="9" s="1"/>
  <c r="C2" i="9" a="1"/>
  <c r="C2" i="9" s="1"/>
  <c r="B4" i="9" s="1"/>
  <c r="F4" i="8" a="1"/>
  <c r="F4" i="8" s="1"/>
  <c r="F5" i="8" a="1"/>
  <c r="F5" i="8" s="1"/>
  <c r="F6" i="8" a="1"/>
  <c r="F6" i="8" s="1"/>
  <c r="F7" i="8" a="1"/>
  <c r="F7" i="8" s="1"/>
  <c r="F8" i="8" a="1"/>
  <c r="F8" i="8" s="1"/>
  <c r="F9" i="8" a="1"/>
  <c r="F9" i="8" s="1"/>
  <c r="F10" i="8" a="1"/>
  <c r="F10" i="8" s="1"/>
  <c r="F11" i="8" a="1"/>
  <c r="F11" i="8" s="1"/>
  <c r="F12" i="8" a="1"/>
  <c r="F12" i="8" s="1"/>
  <c r="F13" i="8" a="1"/>
  <c r="F13" i="8" s="1"/>
  <c r="F14" i="8" a="1"/>
  <c r="F14" i="8" s="1"/>
  <c r="F15" i="8" a="1"/>
  <c r="F15" i="8" s="1"/>
  <c r="F16" i="8" a="1"/>
  <c r="F16" i="8" s="1"/>
  <c r="F17" i="8" a="1"/>
  <c r="F17" i="8" s="1"/>
  <c r="F18" i="8" a="1"/>
  <c r="F18" i="8" s="1"/>
  <c r="F19" i="8" a="1"/>
  <c r="F19" i="8" s="1"/>
  <c r="F20" i="8" a="1"/>
  <c r="F20" i="8" s="1"/>
  <c r="F21" i="8" a="1"/>
  <c r="F21" i="8" s="1"/>
  <c r="F22" i="8" a="1"/>
  <c r="F22" i="8" s="1"/>
  <c r="F23" i="8" a="1"/>
  <c r="F23" i="8" s="1"/>
  <c r="F24" i="8" a="1"/>
  <c r="F24" i="8" s="1"/>
  <c r="F25" i="8" a="1"/>
  <c r="F25" i="8" s="1"/>
  <c r="F26" i="8" a="1"/>
  <c r="F26" i="8" s="1"/>
  <c r="F27" i="8" a="1"/>
  <c r="F27" i="8" s="1"/>
  <c r="F28" i="8" a="1"/>
  <c r="F28" i="8" s="1"/>
  <c r="F29" i="8" a="1"/>
  <c r="F29" i="8" s="1"/>
  <c r="F30" i="8" a="1"/>
  <c r="F30" i="8" s="1"/>
  <c r="F31" i="8" a="1"/>
  <c r="F31" i="8" s="1"/>
  <c r="F32" i="8" a="1"/>
  <c r="F32" i="8" s="1"/>
  <c r="F33" i="8" a="1"/>
  <c r="F33" i="8" s="1"/>
  <c r="F34" i="8" a="1"/>
  <c r="F34" i="8" s="1"/>
  <c r="F35" i="8" a="1"/>
  <c r="F35" i="8" s="1"/>
  <c r="F36" i="8" a="1"/>
  <c r="F36" i="8" s="1"/>
  <c r="F37" i="8" a="1"/>
  <c r="F37" i="8" s="1"/>
  <c r="F38" i="8" a="1"/>
  <c r="F38" i="8" s="1"/>
  <c r="F39" i="8" a="1"/>
  <c r="F39" i="8" s="1"/>
  <c r="F40" i="8" a="1"/>
  <c r="F40" i="8" s="1"/>
  <c r="F41" i="8" a="1"/>
  <c r="F41" i="8" s="1"/>
  <c r="F42" i="8" a="1"/>
  <c r="F42" i="8" s="1"/>
  <c r="F43" i="8" a="1"/>
  <c r="F43" i="8" s="1"/>
  <c r="F44" i="8" a="1"/>
  <c r="F44" i="8" s="1"/>
  <c r="F45" i="8" a="1"/>
  <c r="F45" i="8" s="1"/>
  <c r="F46" i="8" a="1"/>
  <c r="F46" i="8" s="1"/>
  <c r="F47" i="8" a="1"/>
  <c r="F47" i="8" s="1"/>
  <c r="F48" i="8" a="1"/>
  <c r="F48" i="8" s="1"/>
  <c r="F49" i="8" a="1"/>
  <c r="F49" i="8" s="1"/>
  <c r="F50" i="8" a="1"/>
  <c r="F50" i="8" s="1"/>
  <c r="F51" i="8" a="1"/>
  <c r="F51" i="8" s="1"/>
  <c r="F52" i="8" a="1"/>
  <c r="F52" i="8" s="1"/>
  <c r="F53" i="8" a="1"/>
  <c r="F53" i="8" s="1"/>
  <c r="F54" i="8" a="1"/>
  <c r="F54" i="8" s="1"/>
  <c r="F55" i="8" a="1"/>
  <c r="F55" i="8" s="1"/>
  <c r="F56" i="8" a="1"/>
  <c r="F56" i="8" s="1"/>
  <c r="F57" i="8" a="1"/>
  <c r="F57" i="8" s="1"/>
  <c r="F58" i="8" a="1"/>
  <c r="F58" i="8" s="1"/>
  <c r="F59" i="8" a="1"/>
  <c r="F59" i="8" s="1"/>
  <c r="F60" i="8" a="1"/>
  <c r="F60" i="8" s="1"/>
  <c r="F61" i="8" a="1"/>
  <c r="F61" i="8" s="1"/>
  <c r="F62" i="8" a="1"/>
  <c r="F62" i="8" s="1"/>
  <c r="F63" i="8" a="1"/>
  <c r="F63" i="8" s="1"/>
  <c r="F64" i="8" a="1"/>
  <c r="F64" i="8" s="1"/>
  <c r="F65" i="8" a="1"/>
  <c r="F65" i="8" s="1"/>
  <c r="F66" i="8" a="1"/>
  <c r="F66" i="8" s="1"/>
  <c r="F67" i="8" a="1"/>
  <c r="F67" i="8" s="1"/>
  <c r="F68" i="8" a="1"/>
  <c r="F68" i="8" s="1"/>
  <c r="F69" i="8" a="1"/>
  <c r="F69" i="8" s="1"/>
  <c r="F70" i="8" a="1"/>
  <c r="F70" i="8" s="1"/>
  <c r="F71" i="8" a="1"/>
  <c r="F71" i="8" s="1"/>
  <c r="F72" i="8" a="1"/>
  <c r="F72" i="8" s="1"/>
  <c r="F73" i="8" a="1"/>
  <c r="F73" i="8" s="1"/>
  <c r="F74" i="8" a="1"/>
  <c r="F74" i="8" s="1"/>
  <c r="F75" i="8" a="1"/>
  <c r="F75" i="8" s="1"/>
  <c r="F76" i="8" a="1"/>
  <c r="F76" i="8" s="1"/>
  <c r="F77" i="8" a="1"/>
  <c r="F77" i="8" s="1"/>
  <c r="F78" i="8" a="1"/>
  <c r="F78" i="8" s="1"/>
  <c r="F79" i="8" a="1"/>
  <c r="F79" i="8" s="1"/>
  <c r="F80" i="8" a="1"/>
  <c r="F80" i="8" s="1"/>
  <c r="F81" i="8" a="1"/>
  <c r="F81" i="8" s="1"/>
  <c r="F82" i="8" a="1"/>
  <c r="F82" i="8" s="1"/>
  <c r="F83" i="8" a="1"/>
  <c r="F83" i="8" s="1"/>
  <c r="F84" i="8" a="1"/>
  <c r="F84" i="8" s="1"/>
  <c r="F85" i="8" a="1"/>
  <c r="F85" i="8" s="1"/>
  <c r="F86" i="8" a="1"/>
  <c r="F86" i="8" s="1"/>
  <c r="F87" i="8" a="1"/>
  <c r="F87" i="8" s="1"/>
  <c r="F88" i="8" a="1"/>
  <c r="F88" i="8" s="1"/>
  <c r="F89" i="8" a="1"/>
  <c r="F89" i="8" s="1"/>
  <c r="F90" i="8" a="1"/>
  <c r="F90" i="8" s="1"/>
  <c r="F91" i="8" a="1"/>
  <c r="F91" i="8" s="1"/>
  <c r="F92" i="8" a="1"/>
  <c r="F92" i="8" s="1"/>
  <c r="F93" i="8" a="1"/>
  <c r="F93" i="8" s="1"/>
  <c r="F94" i="8" a="1"/>
  <c r="F94" i="8" s="1"/>
  <c r="F95" i="8" a="1"/>
  <c r="F95" i="8" s="1"/>
  <c r="F96" i="8" a="1"/>
  <c r="F96" i="8" s="1"/>
  <c r="F97" i="8" a="1"/>
  <c r="F97" i="8" s="1"/>
  <c r="F98" i="8" a="1"/>
  <c r="F98" i="8" s="1"/>
  <c r="F99" i="8" a="1"/>
  <c r="F99" i="8" s="1"/>
  <c r="F100" i="8" a="1"/>
  <c r="F100" i="8" s="1"/>
  <c r="F101" i="8" a="1"/>
  <c r="F101" i="8" s="1"/>
  <c r="F102" i="8" a="1"/>
  <c r="F102" i="8" s="1"/>
  <c r="F103" i="8" a="1"/>
  <c r="F103" i="8" s="1"/>
  <c r="F104" i="8" a="1"/>
  <c r="F104" i="8" s="1"/>
  <c r="F105" i="8" a="1"/>
  <c r="F105" i="8" s="1"/>
  <c r="F106" i="8" a="1"/>
  <c r="F106" i="8" s="1"/>
  <c r="F107" i="8" a="1"/>
  <c r="F107" i="8" s="1"/>
  <c r="F108" i="8" a="1"/>
  <c r="F108" i="8" s="1"/>
  <c r="F109" i="8" a="1"/>
  <c r="F109" i="8" s="1"/>
  <c r="F110" i="8" a="1"/>
  <c r="F110" i="8" s="1"/>
  <c r="F111" i="8" a="1"/>
  <c r="F111" i="8" s="1"/>
  <c r="F112" i="8" a="1"/>
  <c r="F112" i="8" s="1"/>
  <c r="F113" i="8" a="1"/>
  <c r="F113" i="8" s="1"/>
  <c r="F114" i="8" a="1"/>
  <c r="F114" i="8" s="1"/>
  <c r="F115" i="8" a="1"/>
  <c r="F115" i="8" s="1"/>
  <c r="F116" i="8" a="1"/>
  <c r="F116" i="8" s="1"/>
  <c r="F117" i="8" a="1"/>
  <c r="F117" i="8" s="1"/>
  <c r="F118" i="8" a="1"/>
  <c r="F118" i="8" s="1"/>
  <c r="F119" i="8" a="1"/>
  <c r="F119" i="8" s="1"/>
  <c r="F120" i="8" a="1"/>
  <c r="F120" i="8" s="1"/>
  <c r="F121" i="8" a="1"/>
  <c r="F121" i="8" s="1"/>
  <c r="F122" i="8" a="1"/>
  <c r="F122" i="8" s="1"/>
  <c r="F123" i="8" a="1"/>
  <c r="F123" i="8" s="1"/>
  <c r="F124" i="8" a="1"/>
  <c r="F124" i="8" s="1"/>
  <c r="F125" i="8" a="1"/>
  <c r="F125" i="8" s="1"/>
  <c r="F126" i="8" a="1"/>
  <c r="F126" i="8" s="1"/>
  <c r="F127" i="8" a="1"/>
  <c r="F127" i="8" s="1"/>
  <c r="F128" i="8" a="1"/>
  <c r="F128" i="8" s="1"/>
  <c r="F129" i="8" a="1"/>
  <c r="F129" i="8" s="1"/>
  <c r="F130" i="8" a="1"/>
  <c r="F130" i="8" s="1"/>
  <c r="F131" i="8" a="1"/>
  <c r="F131" i="8" s="1"/>
  <c r="F132" i="8" a="1"/>
  <c r="F132" i="8" s="1"/>
  <c r="F133" i="8" a="1"/>
  <c r="F133" i="8" s="1"/>
  <c r="F134" i="8" a="1"/>
  <c r="F134" i="8" s="1"/>
  <c r="F135" i="8" a="1"/>
  <c r="F135" i="8" s="1"/>
  <c r="F136" i="8" a="1"/>
  <c r="F136" i="8" s="1"/>
  <c r="F137" i="8" a="1"/>
  <c r="F137" i="8" s="1"/>
  <c r="F138" i="8" a="1"/>
  <c r="F138" i="8" s="1"/>
  <c r="F139" i="8" a="1"/>
  <c r="F139" i="8" s="1"/>
  <c r="F140" i="8" a="1"/>
  <c r="F140" i="8" s="1"/>
  <c r="F141" i="8" a="1"/>
  <c r="F141" i="8" s="1"/>
  <c r="F142" i="8" a="1"/>
  <c r="F142" i="8" s="1"/>
  <c r="F143" i="8" a="1"/>
  <c r="F143" i="8" s="1"/>
  <c r="F144" i="8" a="1"/>
  <c r="F144" i="8" s="1"/>
  <c r="F145" i="8" a="1"/>
  <c r="F145" i="8" s="1"/>
  <c r="F146" i="8" a="1"/>
  <c r="F146" i="8" s="1"/>
  <c r="F147" i="8" a="1"/>
  <c r="F147" i="8" s="1"/>
  <c r="F148" i="8" a="1"/>
  <c r="F148" i="8" s="1"/>
  <c r="F149" i="8" a="1"/>
  <c r="F149" i="8" s="1"/>
  <c r="F150" i="8" a="1"/>
  <c r="F150" i="8" s="1"/>
  <c r="F151" i="8" a="1"/>
  <c r="F151" i="8" s="1"/>
  <c r="F152" i="8" a="1"/>
  <c r="F152" i="8" s="1"/>
  <c r="F153" i="8" a="1"/>
  <c r="F153" i="8" s="1"/>
  <c r="F154" i="8" a="1"/>
  <c r="F154" i="8" s="1"/>
  <c r="F155" i="8" a="1"/>
  <c r="F155" i="8" s="1"/>
  <c r="F156" i="8" a="1"/>
  <c r="F156" i="8" s="1"/>
  <c r="F157" i="8" a="1"/>
  <c r="F157" i="8" s="1"/>
  <c r="F158" i="8" a="1"/>
  <c r="F158" i="8" s="1"/>
  <c r="F159" i="8" a="1"/>
  <c r="F159" i="8" s="1"/>
  <c r="F160" i="8" a="1"/>
  <c r="F160" i="8" s="1"/>
  <c r="F161" i="8" a="1"/>
  <c r="F161" i="8" s="1"/>
  <c r="F162" i="8" a="1"/>
  <c r="F162" i="8" s="1"/>
  <c r="F163" i="8" a="1"/>
  <c r="F163" i="8" s="1"/>
  <c r="F164" i="8" a="1"/>
  <c r="F164" i="8" s="1"/>
  <c r="F165" i="8" a="1"/>
  <c r="F165" i="8" s="1"/>
  <c r="F166" i="8" a="1"/>
  <c r="F166" i="8" s="1"/>
  <c r="F167" i="8" a="1"/>
  <c r="F167" i="8" s="1"/>
  <c r="F168" i="8" a="1"/>
  <c r="F168" i="8" s="1"/>
  <c r="F169" i="8" a="1"/>
  <c r="F169" i="8" s="1"/>
  <c r="F170" i="8" a="1"/>
  <c r="F170" i="8" s="1"/>
  <c r="F171" i="8" a="1"/>
  <c r="F171" i="8" s="1"/>
  <c r="F172" i="8" a="1"/>
  <c r="F172" i="8" s="1"/>
  <c r="F173" i="8" a="1"/>
  <c r="F173" i="8" s="1"/>
  <c r="F174" i="8" a="1"/>
  <c r="F174" i="8" s="1"/>
  <c r="F175" i="8" a="1"/>
  <c r="F175" i="8" s="1"/>
  <c r="F176" i="8" a="1"/>
  <c r="F176" i="8" s="1"/>
  <c r="F177" i="8" a="1"/>
  <c r="F177" i="8" s="1"/>
  <c r="F178" i="8" a="1"/>
  <c r="F178" i="8" s="1"/>
  <c r="F179" i="8" a="1"/>
  <c r="F179" i="8" s="1"/>
  <c r="F180" i="8" a="1"/>
  <c r="F180" i="8" s="1"/>
  <c r="F181" i="8" a="1"/>
  <c r="F181" i="8" s="1"/>
  <c r="F182" i="8" a="1"/>
  <c r="F182" i="8" s="1"/>
  <c r="F183" i="8" a="1"/>
  <c r="F183" i="8" s="1"/>
  <c r="F184" i="8" a="1"/>
  <c r="F184" i="8" s="1"/>
  <c r="F185" i="8" a="1"/>
  <c r="F185" i="8" s="1"/>
  <c r="F186" i="8" a="1"/>
  <c r="F186" i="8" s="1"/>
  <c r="F187" i="8" a="1"/>
  <c r="F187" i="8" s="1"/>
  <c r="F188" i="8" a="1"/>
  <c r="F188" i="8" s="1"/>
  <c r="F189" i="8" a="1"/>
  <c r="F189" i="8" s="1"/>
  <c r="F190" i="8" a="1"/>
  <c r="F190" i="8" s="1"/>
  <c r="F191" i="8" a="1"/>
  <c r="F191" i="8" s="1"/>
  <c r="F192" i="8" a="1"/>
  <c r="F192" i="8" s="1"/>
  <c r="F193" i="8" a="1"/>
  <c r="F193" i="8" s="1"/>
  <c r="F194" i="8" a="1"/>
  <c r="F194" i="8" s="1"/>
  <c r="F195" i="8" a="1"/>
  <c r="F195" i="8" s="1"/>
  <c r="F196" i="8" a="1"/>
  <c r="F196" i="8" s="1"/>
  <c r="F197" i="8" a="1"/>
  <c r="F197" i="8" s="1"/>
  <c r="F198" i="8" a="1"/>
  <c r="F198" i="8" s="1"/>
  <c r="F199" i="8" a="1"/>
  <c r="F199" i="8" s="1"/>
  <c r="F200" i="8" a="1"/>
  <c r="F200" i="8" s="1"/>
  <c r="F201" i="8" a="1"/>
  <c r="F201" i="8" s="1"/>
  <c r="F202" i="8" a="1"/>
  <c r="F202" i="8" s="1"/>
  <c r="F203" i="8" a="1"/>
  <c r="F203" i="8" s="1"/>
  <c r="F204" i="8" a="1"/>
  <c r="F204" i="8" s="1"/>
  <c r="F205" i="8" a="1"/>
  <c r="F205" i="8" s="1"/>
  <c r="F206" i="8" a="1"/>
  <c r="F206" i="8" s="1"/>
  <c r="F207" i="8" a="1"/>
  <c r="F207" i="8" s="1"/>
  <c r="F208" i="8" a="1"/>
  <c r="F208" i="8" s="1"/>
  <c r="F209" i="8" a="1"/>
  <c r="F209" i="8" s="1"/>
  <c r="F210" i="8" a="1"/>
  <c r="F210" i="8" s="1"/>
  <c r="F211" i="8" a="1"/>
  <c r="F211" i="8" s="1"/>
  <c r="F212" i="8" a="1"/>
  <c r="F212" i="8" s="1"/>
  <c r="F213" i="8" a="1"/>
  <c r="F213" i="8" s="1"/>
  <c r="F214" i="8" a="1"/>
  <c r="F214" i="8" s="1"/>
  <c r="F215" i="8" a="1"/>
  <c r="F215" i="8" s="1"/>
  <c r="F216" i="8" a="1"/>
  <c r="F216" i="8" s="1"/>
  <c r="F217" i="8" a="1"/>
  <c r="F217" i="8" s="1"/>
  <c r="F218" i="8" a="1"/>
  <c r="F218" i="8" s="1"/>
  <c r="F219" i="8" a="1"/>
  <c r="F219" i="8" s="1"/>
  <c r="F220" i="8" a="1"/>
  <c r="F220" i="8" s="1"/>
  <c r="F221" i="8" a="1"/>
  <c r="F221" i="8" s="1"/>
  <c r="F222" i="8" a="1"/>
  <c r="F222" i="8" s="1"/>
  <c r="F223" i="8" a="1"/>
  <c r="F223" i="8" s="1"/>
  <c r="F224" i="8" a="1"/>
  <c r="F224" i="8" s="1"/>
  <c r="F225" i="8" a="1"/>
  <c r="F225" i="8" s="1"/>
  <c r="F226" i="8" a="1"/>
  <c r="F226" i="8" s="1"/>
  <c r="F227" i="8" a="1"/>
  <c r="F227" i="8" s="1"/>
  <c r="F228" i="8" a="1"/>
  <c r="F228" i="8" s="1"/>
  <c r="F229" i="8" a="1"/>
  <c r="F229" i="8" s="1"/>
  <c r="F230" i="8" a="1"/>
  <c r="F230" i="8" s="1"/>
  <c r="F231" i="8" a="1"/>
  <c r="F231" i="8" s="1"/>
  <c r="F232" i="8" a="1"/>
  <c r="F232" i="8" s="1"/>
  <c r="F233" i="8" a="1"/>
  <c r="F233" i="8" s="1"/>
  <c r="F234" i="8" a="1"/>
  <c r="F234" i="8" s="1"/>
  <c r="F235" i="8" a="1"/>
  <c r="F235" i="8" s="1"/>
  <c r="F236" i="8" a="1"/>
  <c r="F236" i="8" s="1"/>
  <c r="F237" i="8" a="1"/>
  <c r="F237" i="8" s="1"/>
  <c r="F238" i="8" a="1"/>
  <c r="F238" i="8" s="1"/>
  <c r="F239" i="8" a="1"/>
  <c r="F239" i="8" s="1"/>
  <c r="F240" i="8" a="1"/>
  <c r="F240" i="8" s="1"/>
  <c r="F241" i="8" a="1"/>
  <c r="F241" i="8" s="1"/>
  <c r="F242" i="8" a="1"/>
  <c r="F242" i="8" s="1"/>
  <c r="F243" i="8" a="1"/>
  <c r="F243" i="8" s="1"/>
  <c r="F244" i="8" a="1"/>
  <c r="F244" i="8" s="1"/>
  <c r="F245" i="8" a="1"/>
  <c r="F245" i="8" s="1"/>
  <c r="F246" i="8" a="1"/>
  <c r="F246" i="8" s="1"/>
  <c r="F247" i="8" a="1"/>
  <c r="F247" i="8" s="1"/>
  <c r="F248" i="8" a="1"/>
  <c r="F248" i="8" s="1"/>
  <c r="F249" i="8" a="1"/>
  <c r="F249" i="8" s="1"/>
  <c r="F250" i="8" a="1"/>
  <c r="F250" i="8" s="1"/>
  <c r="F251" i="8" a="1"/>
  <c r="F251" i="8" s="1"/>
  <c r="F252" i="8" a="1"/>
  <c r="F252" i="8" s="1"/>
  <c r="F253" i="8" a="1"/>
  <c r="F253" i="8" s="1"/>
  <c r="F254" i="8" a="1"/>
  <c r="F254" i="8" s="1"/>
  <c r="F255" i="8" a="1"/>
  <c r="F255" i="8" s="1"/>
  <c r="F256" i="8" a="1"/>
  <c r="F256" i="8" s="1"/>
  <c r="F257" i="8" a="1"/>
  <c r="F257" i="8" s="1"/>
  <c r="F258" i="8" a="1"/>
  <c r="F258" i="8" s="1"/>
  <c r="F259" i="8" a="1"/>
  <c r="F259" i="8" s="1"/>
  <c r="F260" i="8" a="1"/>
  <c r="F260" i="8" s="1"/>
  <c r="F261" i="8" a="1"/>
  <c r="F261" i="8" s="1"/>
  <c r="F262" i="8" a="1"/>
  <c r="F262" i="8" s="1"/>
  <c r="F263" i="8" a="1"/>
  <c r="F263" i="8" s="1"/>
  <c r="F264" i="8" a="1"/>
  <c r="F264" i="8" s="1"/>
  <c r="F265" i="8" a="1"/>
  <c r="F265" i="8" s="1"/>
  <c r="F266" i="8" a="1"/>
  <c r="F266" i="8" s="1"/>
  <c r="F267" i="8" a="1"/>
  <c r="F267" i="8" s="1"/>
  <c r="F268" i="8" a="1"/>
  <c r="F268" i="8" s="1"/>
  <c r="F269" i="8" a="1"/>
  <c r="F269" i="8" s="1"/>
  <c r="F270" i="8" a="1"/>
  <c r="F270" i="8" s="1"/>
  <c r="F271" i="8" a="1"/>
  <c r="F271" i="8" s="1"/>
  <c r="F272" i="8" a="1"/>
  <c r="F272" i="8" s="1"/>
  <c r="F273" i="8" a="1"/>
  <c r="F273" i="8" s="1"/>
  <c r="F274" i="8" a="1"/>
  <c r="F274" i="8" s="1"/>
  <c r="F275" i="8" a="1"/>
  <c r="F275" i="8" s="1"/>
  <c r="F276" i="8" a="1"/>
  <c r="F276" i="8" s="1"/>
  <c r="F277" i="8" a="1"/>
  <c r="F277" i="8" s="1"/>
  <c r="F278" i="8" a="1"/>
  <c r="F278" i="8" s="1"/>
  <c r="F279" i="8" a="1"/>
  <c r="F279" i="8" s="1"/>
  <c r="F280" i="8" a="1"/>
  <c r="F280" i="8" s="1"/>
  <c r="F281" i="8" a="1"/>
  <c r="F281" i="8" s="1"/>
  <c r="F282" i="8" a="1"/>
  <c r="F282" i="8" s="1"/>
  <c r="F283" i="8" a="1"/>
  <c r="F283" i="8" s="1"/>
  <c r="F284" i="8" a="1"/>
  <c r="F284" i="8" s="1"/>
  <c r="F285" i="8" a="1"/>
  <c r="F285" i="8" s="1"/>
  <c r="F286" i="8" a="1"/>
  <c r="F286" i="8" s="1"/>
  <c r="F287" i="8" a="1"/>
  <c r="F287" i="8" s="1"/>
  <c r="F288" i="8" a="1"/>
  <c r="F288" i="8" s="1"/>
  <c r="F289" i="8" a="1"/>
  <c r="F289" i="8" s="1"/>
  <c r="F290" i="8" a="1"/>
  <c r="F290" i="8" s="1"/>
  <c r="F291" i="8" a="1"/>
  <c r="F291" i="8" s="1"/>
  <c r="F292" i="8" a="1"/>
  <c r="F292" i="8" s="1"/>
  <c r="F293" i="8" a="1"/>
  <c r="F293" i="8" s="1"/>
  <c r="F294" i="8" a="1"/>
  <c r="F294" i="8" s="1"/>
  <c r="F295" i="8" a="1"/>
  <c r="F295" i="8" s="1"/>
  <c r="F296" i="8" a="1"/>
  <c r="F296" i="8" s="1"/>
  <c r="F297" i="8" a="1"/>
  <c r="F297" i="8" s="1"/>
  <c r="F298" i="8" a="1"/>
  <c r="F298" i="8" s="1"/>
  <c r="F299" i="8" a="1"/>
  <c r="F299" i="8" s="1"/>
  <c r="F300" i="8" a="1"/>
  <c r="F300" i="8" s="1"/>
  <c r="F301" i="8" a="1"/>
  <c r="F301" i="8" s="1"/>
  <c r="F302" i="8" a="1"/>
  <c r="F302" i="8" s="1"/>
  <c r="F303" i="8" a="1"/>
  <c r="F303" i="8" s="1"/>
  <c r="F304" i="8" a="1"/>
  <c r="F304" i="8" s="1"/>
  <c r="F305" i="8" a="1"/>
  <c r="F305" i="8" s="1"/>
  <c r="F306" i="8" a="1"/>
  <c r="F306" i="8" s="1"/>
  <c r="F307" i="8" a="1"/>
  <c r="F307" i="8" s="1"/>
  <c r="F308" i="8" a="1"/>
  <c r="F308" i="8" s="1"/>
  <c r="F309" i="8" a="1"/>
  <c r="F309" i="8" s="1"/>
  <c r="F310" i="8" a="1"/>
  <c r="F310" i="8" s="1"/>
  <c r="F311" i="8" a="1"/>
  <c r="F311" i="8" s="1"/>
  <c r="F312" i="8" a="1"/>
  <c r="F312" i="8" s="1"/>
  <c r="F313" i="8" a="1"/>
  <c r="F313" i="8" s="1"/>
  <c r="F314" i="8" a="1"/>
  <c r="F314" i="8" s="1"/>
  <c r="F315" i="8" a="1"/>
  <c r="F315" i="8" s="1"/>
  <c r="F316" i="8" a="1"/>
  <c r="F316" i="8" s="1"/>
  <c r="F317" i="8" a="1"/>
  <c r="F317" i="8" s="1"/>
  <c r="F318" i="8" a="1"/>
  <c r="F318" i="8" s="1"/>
  <c r="F319" i="8" a="1"/>
  <c r="F319" i="8" s="1"/>
  <c r="F320" i="8" a="1"/>
  <c r="F320" i="8" s="1"/>
  <c r="F321" i="8" a="1"/>
  <c r="F321" i="8" s="1"/>
  <c r="F322" i="8" a="1"/>
  <c r="F322" i="8" s="1"/>
  <c r="F323" i="8" a="1"/>
  <c r="F323" i="8" s="1"/>
  <c r="F324" i="8" a="1"/>
  <c r="F324" i="8" s="1"/>
  <c r="F325" i="8" a="1"/>
  <c r="F325" i="8" s="1"/>
  <c r="F326" i="8" a="1"/>
  <c r="F326" i="8" s="1"/>
  <c r="F327" i="8" a="1"/>
  <c r="F327" i="8" s="1"/>
  <c r="F328" i="8" a="1"/>
  <c r="F328" i="8" s="1"/>
  <c r="F329" i="8" a="1"/>
  <c r="F329" i="8" s="1"/>
  <c r="F330" i="8" a="1"/>
  <c r="F330" i="8" s="1"/>
  <c r="F331" i="8" a="1"/>
  <c r="F331" i="8" s="1"/>
  <c r="F332" i="8" a="1"/>
  <c r="F332" i="8" s="1"/>
  <c r="F333" i="8" a="1"/>
  <c r="F333" i="8" s="1"/>
  <c r="F334" i="8" a="1"/>
  <c r="F334" i="8" s="1"/>
  <c r="F335" i="8" a="1"/>
  <c r="F335" i="8" s="1"/>
  <c r="F336" i="8" a="1"/>
  <c r="F336" i="8" s="1"/>
  <c r="F337" i="8" a="1"/>
  <c r="F337" i="8" s="1"/>
  <c r="F338" i="8" a="1"/>
  <c r="F338" i="8" s="1"/>
  <c r="F339" i="8" a="1"/>
  <c r="F339" i="8" s="1"/>
  <c r="F340" i="8" a="1"/>
  <c r="F340" i="8" s="1"/>
  <c r="F341" i="8" a="1"/>
  <c r="F341" i="8" s="1"/>
  <c r="F342" i="8" a="1"/>
  <c r="F342" i="8" s="1"/>
  <c r="F343" i="8" a="1"/>
  <c r="F343" i="8" s="1"/>
  <c r="F344" i="8" a="1"/>
  <c r="F344" i="8" s="1"/>
  <c r="F345" i="8" a="1"/>
  <c r="F345" i="8" s="1"/>
  <c r="F346" i="8" a="1"/>
  <c r="F346" i="8" s="1"/>
  <c r="F347" i="8" a="1"/>
  <c r="F347" i="8" s="1"/>
  <c r="F348" i="8" a="1"/>
  <c r="F348" i="8" s="1"/>
  <c r="F349" i="8" a="1"/>
  <c r="F349" i="8" s="1"/>
  <c r="F350" i="8" a="1"/>
  <c r="F350" i="8" s="1"/>
  <c r="F351" i="8" a="1"/>
  <c r="F351" i="8" s="1"/>
  <c r="F352" i="8" a="1"/>
  <c r="F352" i="8" s="1"/>
  <c r="F353" i="8" a="1"/>
  <c r="F353" i="8" s="1"/>
  <c r="F354" i="8" a="1"/>
  <c r="F354" i="8" s="1"/>
  <c r="F355" i="8" a="1"/>
  <c r="F355" i="8" s="1"/>
  <c r="F356" i="8" a="1"/>
  <c r="F356" i="8" s="1"/>
  <c r="F357" i="8" a="1"/>
  <c r="F357" i="8" s="1"/>
  <c r="F358" i="8" a="1"/>
  <c r="F358" i="8" s="1"/>
  <c r="F359" i="8" a="1"/>
  <c r="F359" i="8" s="1"/>
  <c r="F360" i="8" a="1"/>
  <c r="F360" i="8" s="1"/>
  <c r="F361" i="8" a="1"/>
  <c r="F361" i="8" s="1"/>
  <c r="F362" i="8" a="1"/>
  <c r="F362" i="8" s="1"/>
  <c r="F363" i="8" a="1"/>
  <c r="F363" i="8" s="1"/>
  <c r="F364" i="8" a="1"/>
  <c r="F364" i="8" s="1"/>
  <c r="F365" i="8" a="1"/>
  <c r="F365" i="8" s="1"/>
  <c r="F366" i="8" a="1"/>
  <c r="F366" i="8" s="1"/>
  <c r="F367" i="8" a="1"/>
  <c r="F367" i="8" s="1"/>
  <c r="F368" i="8" a="1"/>
  <c r="F368" i="8" s="1"/>
  <c r="F369" i="8" a="1"/>
  <c r="F369" i="8" s="1"/>
  <c r="F370" i="8" a="1"/>
  <c r="F370" i="8" s="1"/>
  <c r="F371" i="8" a="1"/>
  <c r="F371" i="8" s="1"/>
  <c r="F372" i="8" a="1"/>
  <c r="F372" i="8" s="1"/>
  <c r="F373" i="8" a="1"/>
  <c r="F373" i="8" s="1"/>
  <c r="F374" i="8" a="1"/>
  <c r="F374" i="8" s="1"/>
  <c r="F375" i="8" a="1"/>
  <c r="F375" i="8" s="1"/>
  <c r="F376" i="8" a="1"/>
  <c r="F376" i="8" s="1"/>
  <c r="F377" i="8" a="1"/>
  <c r="F377" i="8" s="1"/>
  <c r="F378" i="8" a="1"/>
  <c r="F378" i="8" s="1"/>
  <c r="F379" i="8" a="1"/>
  <c r="F379" i="8" s="1"/>
  <c r="F380" i="8" a="1"/>
  <c r="F380" i="8" s="1"/>
  <c r="F381" i="8" a="1"/>
  <c r="F381" i="8" s="1"/>
  <c r="F382" i="8" a="1"/>
  <c r="F382" i="8" s="1"/>
  <c r="F383" i="8" a="1"/>
  <c r="F383" i="8" s="1"/>
  <c r="F384" i="8" a="1"/>
  <c r="F384" i="8" s="1"/>
  <c r="F385" i="8" a="1"/>
  <c r="F385" i="8" s="1"/>
  <c r="F386" i="8" a="1"/>
  <c r="F386" i="8" s="1"/>
  <c r="F387" i="8" a="1"/>
  <c r="F387" i="8" s="1"/>
  <c r="F388" i="8" a="1"/>
  <c r="F388" i="8" s="1"/>
  <c r="F389" i="8" a="1"/>
  <c r="F389" i="8" s="1"/>
  <c r="F390" i="8" a="1"/>
  <c r="F390" i="8" s="1"/>
  <c r="F391" i="8" a="1"/>
  <c r="F391" i="8" s="1"/>
  <c r="F392" i="8" a="1"/>
  <c r="F392" i="8" s="1"/>
  <c r="F393" i="8" a="1"/>
  <c r="F393" i="8" s="1"/>
  <c r="F394" i="8" a="1"/>
  <c r="F394" i="8" s="1"/>
  <c r="F395" i="8" a="1"/>
  <c r="F395" i="8" s="1"/>
  <c r="F396" i="8" a="1"/>
  <c r="F396" i="8" s="1"/>
  <c r="F397" i="8" a="1"/>
  <c r="F397" i="8" s="1"/>
  <c r="F3" i="8" a="1"/>
  <c r="F3" i="8" s="1"/>
  <c r="E3" i="8" a="1"/>
  <c r="E3" i="8" s="1"/>
  <c r="C10" i="8" a="1"/>
  <c r="C10" i="8" s="1"/>
  <c r="C9" i="8" a="1"/>
  <c r="C9" i="8" s="1"/>
  <c r="C8" i="8"/>
  <c r="C6" i="8" a="1"/>
  <c r="C6" i="8" s="1"/>
  <c r="C5" i="8"/>
  <c r="C4" i="8"/>
  <c r="C3" i="8"/>
  <c r="B9" i="1"/>
  <c r="N9" i="11"/>
  <c r="J9" i="11"/>
  <c r="F9" i="11"/>
  <c r="B9" i="11"/>
  <c r="I3" i="8"/>
  <c r="I2" i="8"/>
  <c r="I5" i="8"/>
  <c r="I4" i="8"/>
  <c r="M467" i="8"/>
  <c r="M466" i="8"/>
  <c r="M465" i="8"/>
  <c r="M464" i="8"/>
  <c r="M463" i="8"/>
  <c r="M462" i="8"/>
  <c r="M461" i="8"/>
  <c r="M460" i="8"/>
  <c r="M459" i="8"/>
  <c r="M458" i="8"/>
  <c r="M457" i="8"/>
  <c r="M456" i="8"/>
  <c r="M455" i="8"/>
  <c r="M454" i="8"/>
  <c r="M453" i="8"/>
  <c r="M452" i="8"/>
  <c r="M451" i="8"/>
  <c r="M450" i="8"/>
  <c r="M449" i="8"/>
  <c r="M448" i="8"/>
  <c r="M447" i="8"/>
  <c r="M446"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419" i="8"/>
  <c r="M418" i="8"/>
  <c r="M417" i="8"/>
  <c r="M416" i="8"/>
  <c r="M415" i="8"/>
  <c r="M414" i="8"/>
  <c r="M413" i="8"/>
  <c r="M412" i="8"/>
  <c r="M411" i="8"/>
  <c r="M410" i="8"/>
  <c r="M409" i="8"/>
  <c r="M408" i="8"/>
  <c r="M407" i="8"/>
  <c r="M406" i="8"/>
  <c r="M405" i="8"/>
  <c r="M404" i="8"/>
  <c r="M403" i="8"/>
  <c r="M402" i="8"/>
  <c r="M401" i="8"/>
  <c r="M400" i="8"/>
  <c r="M399" i="8"/>
  <c r="M398" i="8"/>
  <c r="M397" i="8"/>
  <c r="M396" i="8"/>
  <c r="M395" i="8"/>
  <c r="M394" i="8"/>
  <c r="M393" i="8"/>
  <c r="M392" i="8"/>
  <c r="M391" i="8"/>
  <c r="M390" i="8"/>
  <c r="M389" i="8"/>
  <c r="M388" i="8"/>
  <c r="M387" i="8"/>
  <c r="M386" i="8"/>
  <c r="M385" i="8"/>
  <c r="M384" i="8"/>
  <c r="M383" i="8"/>
  <c r="M382" i="8"/>
  <c r="M381" i="8"/>
  <c r="M380" i="8"/>
  <c r="M379" i="8"/>
  <c r="M378" i="8"/>
  <c r="M377" i="8"/>
  <c r="M376" i="8"/>
  <c r="M375" i="8"/>
  <c r="M374" i="8"/>
  <c r="M373" i="8"/>
  <c r="M372" i="8"/>
  <c r="M371" i="8"/>
  <c r="M370" i="8"/>
  <c r="M369" i="8"/>
  <c r="M368" i="8"/>
  <c r="M367" i="8"/>
  <c r="M366" i="8"/>
  <c r="M365" i="8"/>
  <c r="M364" i="8"/>
  <c r="M363" i="8"/>
  <c r="M362" i="8"/>
  <c r="M361" i="8"/>
  <c r="M360" i="8"/>
  <c r="M359" i="8"/>
  <c r="M358" i="8"/>
  <c r="M357" i="8"/>
  <c r="M356" i="8"/>
  <c r="M355" i="8"/>
  <c r="M354" i="8"/>
  <c r="M353" i="8"/>
  <c r="M352" i="8"/>
  <c r="M351" i="8"/>
  <c r="M350" i="8"/>
  <c r="M349" i="8"/>
  <c r="M348" i="8"/>
  <c r="M347" i="8"/>
  <c r="M346" i="8"/>
  <c r="M345" i="8"/>
  <c r="M344" i="8"/>
  <c r="M343" i="8"/>
  <c r="M342" i="8"/>
  <c r="M341" i="8"/>
  <c r="M340" i="8"/>
  <c r="M339" i="8"/>
  <c r="M338" i="8"/>
  <c r="M337" i="8"/>
  <c r="M336" i="8"/>
  <c r="M335" i="8"/>
  <c r="M334" i="8"/>
  <c r="M333" i="8"/>
  <c r="M332" i="8"/>
  <c r="M331" i="8"/>
  <c r="M330" i="8"/>
  <c r="M329" i="8"/>
  <c r="M328" i="8"/>
  <c r="M327" i="8"/>
  <c r="M326" i="8"/>
  <c r="M325" i="8"/>
  <c r="M324" i="8"/>
  <c r="M323" i="8"/>
  <c r="M322" i="8"/>
  <c r="M321" i="8"/>
  <c r="M320" i="8"/>
  <c r="M319" i="8"/>
  <c r="M318" i="8"/>
  <c r="M317" i="8"/>
  <c r="M316" i="8"/>
  <c r="M315" i="8"/>
  <c r="M314" i="8"/>
  <c r="M313" i="8"/>
  <c r="M312" i="8"/>
  <c r="M311" i="8"/>
  <c r="M310" i="8"/>
  <c r="M309" i="8"/>
  <c r="M308" i="8"/>
  <c r="M307" i="8"/>
  <c r="M306" i="8"/>
  <c r="M305" i="8"/>
  <c r="M304" i="8"/>
  <c r="M303" i="8"/>
  <c r="M302" i="8"/>
  <c r="M301" i="8"/>
  <c r="M300" i="8"/>
  <c r="M299" i="8"/>
  <c r="M298" i="8"/>
  <c r="M297" i="8"/>
  <c r="M296" i="8"/>
  <c r="M295" i="8"/>
  <c r="M294" i="8"/>
  <c r="M293" i="8"/>
  <c r="M292" i="8"/>
  <c r="M291" i="8"/>
  <c r="M290" i="8"/>
  <c r="M289" i="8"/>
  <c r="M288" i="8"/>
  <c r="M287" i="8"/>
  <c r="M286" i="8"/>
  <c r="M285" i="8"/>
  <c r="M284" i="8"/>
  <c r="M283" i="8"/>
  <c r="M282" i="8"/>
  <c r="M281" i="8"/>
  <c r="M280" i="8"/>
  <c r="M279" i="8"/>
  <c r="M278" i="8"/>
  <c r="M277" i="8"/>
  <c r="M276" i="8"/>
  <c r="M275" i="8"/>
  <c r="M274" i="8"/>
  <c r="M273" i="8"/>
  <c r="M272" i="8"/>
  <c r="M271" i="8"/>
  <c r="M270" i="8"/>
  <c r="M269" i="8"/>
  <c r="M268" i="8"/>
  <c r="M267" i="8"/>
  <c r="M266" i="8"/>
  <c r="M265" i="8"/>
  <c r="M264" i="8"/>
  <c r="M263" i="8"/>
  <c r="M262" i="8"/>
  <c r="M261" i="8"/>
  <c r="M260" i="8"/>
  <c r="M259" i="8"/>
  <c r="M258" i="8"/>
  <c r="M257" i="8"/>
  <c r="M256" i="8"/>
  <c r="M255" i="8"/>
  <c r="M254" i="8"/>
  <c r="M253" i="8"/>
  <c r="M252" i="8"/>
  <c r="M251" i="8"/>
  <c r="M250" i="8"/>
  <c r="M249" i="8"/>
  <c r="M248" i="8"/>
  <c r="M247" i="8"/>
  <c r="M246" i="8"/>
  <c r="M245" i="8"/>
  <c r="M244" i="8"/>
  <c r="M243" i="8"/>
  <c r="M242" i="8"/>
  <c r="M241" i="8"/>
  <c r="M240" i="8"/>
  <c r="M239" i="8"/>
  <c r="M238" i="8"/>
  <c r="M237" i="8"/>
  <c r="M236" i="8"/>
  <c r="M235" i="8"/>
  <c r="M234" i="8"/>
  <c r="M233" i="8"/>
  <c r="M232" i="8"/>
  <c r="M231" i="8"/>
  <c r="M230" i="8"/>
  <c r="M229" i="8"/>
  <c r="M228" i="8"/>
  <c r="M227" i="8"/>
  <c r="M226" i="8"/>
  <c r="M225" i="8"/>
  <c r="M224" i="8"/>
  <c r="M223" i="8"/>
  <c r="M222" i="8"/>
  <c r="M221" i="8"/>
  <c r="M220" i="8"/>
  <c r="M219" i="8"/>
  <c r="M218" i="8"/>
  <c r="M217" i="8"/>
  <c r="M216" i="8"/>
  <c r="M215" i="8"/>
  <c r="M214" i="8"/>
  <c r="M213" i="8"/>
  <c r="M212" i="8"/>
  <c r="M211" i="8"/>
  <c r="M210" i="8"/>
  <c r="M209" i="8"/>
  <c r="M208" i="8"/>
  <c r="M207" i="8"/>
  <c r="M206" i="8"/>
  <c r="M205" i="8"/>
  <c r="M204" i="8"/>
  <c r="M203" i="8"/>
  <c r="M202" i="8"/>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L467" i="8"/>
  <c r="L466" i="8"/>
  <c r="L465" i="8"/>
  <c r="L464" i="8"/>
  <c r="L463" i="8"/>
  <c r="L462" i="8"/>
  <c r="L461" i="8"/>
  <c r="L460" i="8"/>
  <c r="L459" i="8"/>
  <c r="L458" i="8"/>
  <c r="L457" i="8"/>
  <c r="L456" i="8"/>
  <c r="L455" i="8"/>
  <c r="L454" i="8"/>
  <c r="L453" i="8"/>
  <c r="L452" i="8"/>
  <c r="L451" i="8"/>
  <c r="L450" i="8"/>
  <c r="L449" i="8"/>
  <c r="L448" i="8"/>
  <c r="L447" i="8"/>
  <c r="L446" i="8"/>
  <c r="L445" i="8"/>
  <c r="L444" i="8"/>
  <c r="L443" i="8"/>
  <c r="L442" i="8"/>
  <c r="L441" i="8"/>
  <c r="L440" i="8"/>
  <c r="L439" i="8"/>
  <c r="L438" i="8"/>
  <c r="L437" i="8"/>
  <c r="L436" i="8"/>
  <c r="L435" i="8"/>
  <c r="L434" i="8"/>
  <c r="L433" i="8"/>
  <c r="L432" i="8"/>
  <c r="L431" i="8"/>
  <c r="L430" i="8"/>
  <c r="L429" i="8"/>
  <c r="L428" i="8"/>
  <c r="L427" i="8"/>
  <c r="L426" i="8"/>
  <c r="L425" i="8"/>
  <c r="L424" i="8"/>
  <c r="L423" i="8"/>
  <c r="L422" i="8"/>
  <c r="L421" i="8"/>
  <c r="L420" i="8"/>
  <c r="L419" i="8"/>
  <c r="L418" i="8"/>
  <c r="L417" i="8"/>
  <c r="L416" i="8"/>
  <c r="L415" i="8"/>
  <c r="L414" i="8"/>
  <c r="L413" i="8"/>
  <c r="L412" i="8"/>
  <c r="L411" i="8"/>
  <c r="L410" i="8"/>
  <c r="L409" i="8"/>
  <c r="L408" i="8"/>
  <c r="L407" i="8"/>
  <c r="L406" i="8"/>
  <c r="L405" i="8"/>
  <c r="L404" i="8"/>
  <c r="L403" i="8"/>
  <c r="L402" i="8"/>
  <c r="L401" i="8"/>
  <c r="L400" i="8"/>
  <c r="L399" i="8"/>
  <c r="L398" i="8"/>
  <c r="L397" i="8"/>
  <c r="L396" i="8"/>
  <c r="L395" i="8"/>
  <c r="L394" i="8"/>
  <c r="L393" i="8"/>
  <c r="L392" i="8"/>
  <c r="L391" i="8"/>
  <c r="L390" i="8"/>
  <c r="L389" i="8"/>
  <c r="L388" i="8"/>
  <c r="L387" i="8"/>
  <c r="L386" i="8"/>
  <c r="L385" i="8"/>
  <c r="L384" i="8"/>
  <c r="L383" i="8"/>
  <c r="L382" i="8"/>
  <c r="L381" i="8"/>
  <c r="L380" i="8"/>
  <c r="L379" i="8"/>
  <c r="L378" i="8"/>
  <c r="L377" i="8"/>
  <c r="L376" i="8"/>
  <c r="L375" i="8"/>
  <c r="L374" i="8"/>
  <c r="L373" i="8"/>
  <c r="L372" i="8"/>
  <c r="L371" i="8"/>
  <c r="L370" i="8"/>
  <c r="L369" i="8"/>
  <c r="L368" i="8"/>
  <c r="L367" i="8"/>
  <c r="L366" i="8"/>
  <c r="L365" i="8"/>
  <c r="L364" i="8"/>
  <c r="L363" i="8"/>
  <c r="L362" i="8"/>
  <c r="L361" i="8"/>
  <c r="L360" i="8"/>
  <c r="L359" i="8"/>
  <c r="L358" i="8"/>
  <c r="L357" i="8"/>
  <c r="L356" i="8"/>
  <c r="L355" i="8"/>
  <c r="L354" i="8"/>
  <c r="L353" i="8"/>
  <c r="L352" i="8"/>
  <c r="L351" i="8"/>
  <c r="L350" i="8"/>
  <c r="L349" i="8"/>
  <c r="L348" i="8"/>
  <c r="L347" i="8"/>
  <c r="L346" i="8"/>
  <c r="L345" i="8"/>
  <c r="L344" i="8"/>
  <c r="L343" i="8"/>
  <c r="L342" i="8"/>
  <c r="L341" i="8"/>
  <c r="L340" i="8"/>
  <c r="L339" i="8"/>
  <c r="L338" i="8"/>
  <c r="L337" i="8"/>
  <c r="L336" i="8"/>
  <c r="L335" i="8"/>
  <c r="L334" i="8"/>
  <c r="L333" i="8"/>
  <c r="L332" i="8"/>
  <c r="L331" i="8"/>
  <c r="L330" i="8"/>
  <c r="L329" i="8"/>
  <c r="L328" i="8"/>
  <c r="L327" i="8"/>
  <c r="L326" i="8"/>
  <c r="L325" i="8"/>
  <c r="L324" i="8"/>
  <c r="L323" i="8"/>
  <c r="L322" i="8"/>
  <c r="L321" i="8"/>
  <c r="L320" i="8"/>
  <c r="L319" i="8"/>
  <c r="L318" i="8"/>
  <c r="L317" i="8"/>
  <c r="L316" i="8"/>
  <c r="L315" i="8"/>
  <c r="L314" i="8"/>
  <c r="L313" i="8"/>
  <c r="L312" i="8"/>
  <c r="L311" i="8"/>
  <c r="L310" i="8"/>
  <c r="L309" i="8"/>
  <c r="L308" i="8"/>
  <c r="L307" i="8"/>
  <c r="L306" i="8"/>
  <c r="L305" i="8"/>
  <c r="L304" i="8"/>
  <c r="L303" i="8"/>
  <c r="L302" i="8"/>
  <c r="L301" i="8"/>
  <c r="L300" i="8"/>
  <c r="L299" i="8"/>
  <c r="L298" i="8"/>
  <c r="L297" i="8"/>
  <c r="L296" i="8"/>
  <c r="L295" i="8"/>
  <c r="L294" i="8"/>
  <c r="L293" i="8"/>
  <c r="L292" i="8"/>
  <c r="L291" i="8"/>
  <c r="L290" i="8"/>
  <c r="L289" i="8"/>
  <c r="L288" i="8"/>
  <c r="L287" i="8"/>
  <c r="L286" i="8"/>
  <c r="L285" i="8"/>
  <c r="L284" i="8"/>
  <c r="L283" i="8"/>
  <c r="L282" i="8"/>
  <c r="L281" i="8"/>
  <c r="L280" i="8"/>
  <c r="L279" i="8"/>
  <c r="L278" i="8"/>
  <c r="L277" i="8"/>
  <c r="L276" i="8"/>
  <c r="L275" i="8"/>
  <c r="L274" i="8"/>
  <c r="L273" i="8"/>
  <c r="L272" i="8"/>
  <c r="L271" i="8"/>
  <c r="L270" i="8"/>
  <c r="L269" i="8"/>
  <c r="L268" i="8"/>
  <c r="L267" i="8"/>
  <c r="L266" i="8"/>
  <c r="L265" i="8"/>
  <c r="L264" i="8"/>
  <c r="L263" i="8"/>
  <c r="L262" i="8"/>
  <c r="L261" i="8"/>
  <c r="L260" i="8"/>
  <c r="L259" i="8"/>
  <c r="L258" i="8"/>
  <c r="L257" i="8"/>
  <c r="L256" i="8"/>
  <c r="L255" i="8"/>
  <c r="L254" i="8"/>
  <c r="L253" i="8"/>
  <c r="L252" i="8"/>
  <c r="L251" i="8"/>
  <c r="L250" i="8"/>
  <c r="L249" i="8"/>
  <c r="L248" i="8"/>
  <c r="L247" i="8"/>
  <c r="L246" i="8"/>
  <c r="L245" i="8"/>
  <c r="L244" i="8"/>
  <c r="L243" i="8"/>
  <c r="L242" i="8"/>
  <c r="L241" i="8"/>
  <c r="L240" i="8"/>
  <c r="L239" i="8"/>
  <c r="L238" i="8"/>
  <c r="L237" i="8"/>
  <c r="L236" i="8"/>
  <c r="L235"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51" i="7" l="1"/>
  <c r="B170" i="2"/>
  <c r="E252" i="7"/>
  <c r="B238" i="2"/>
  <c r="E208" i="7"/>
  <c r="B41" i="2"/>
  <c r="B218" i="2"/>
  <c r="B337" i="2"/>
  <c r="E267" i="7"/>
  <c r="E384" i="7"/>
  <c r="E74" i="7"/>
  <c r="E323" i="7"/>
  <c r="B69" i="2"/>
  <c r="B305" i="2"/>
  <c r="B191" i="2"/>
  <c r="B103" i="2"/>
  <c r="E354" i="7"/>
  <c r="E75" i="7"/>
  <c r="E126" i="7"/>
  <c r="E215" i="7"/>
  <c r="B270" i="2"/>
  <c r="B129" i="2"/>
  <c r="B71" i="2"/>
  <c r="B147" i="2"/>
  <c r="B285" i="2"/>
  <c r="B250" i="2"/>
  <c r="E328" i="7"/>
  <c r="E264" i="7"/>
  <c r="E108" i="7"/>
  <c r="B110" i="2"/>
  <c r="E88" i="7"/>
  <c r="E22" i="7"/>
  <c r="E307" i="7"/>
  <c r="E219" i="7"/>
  <c r="B49" i="2"/>
  <c r="E72" i="7"/>
  <c r="E8" i="7"/>
  <c r="E80" i="7"/>
  <c r="E10" i="7"/>
  <c r="B310" i="2"/>
  <c r="E156" i="7"/>
  <c r="E132" i="7"/>
  <c r="E144" i="7"/>
  <c r="E136" i="7"/>
  <c r="B179" i="2"/>
  <c r="B245" i="2"/>
  <c r="E41" i="7"/>
  <c r="B85" i="2"/>
  <c r="E27" i="7"/>
  <c r="E318" i="7"/>
  <c r="E19" i="7"/>
  <c r="B53" i="2"/>
  <c r="E237" i="7"/>
  <c r="E52" i="7"/>
  <c r="E173" i="7"/>
  <c r="E35" i="7"/>
  <c r="E20" i="7"/>
  <c r="E241" i="7"/>
  <c r="E388" i="7"/>
  <c r="E336" i="7"/>
  <c r="E324" i="7"/>
  <c r="E302" i="7"/>
  <c r="E202" i="7"/>
  <c r="B100" i="2"/>
  <c r="E130" i="7"/>
  <c r="B78" i="2"/>
  <c r="B5" i="2"/>
  <c r="B366" i="2"/>
  <c r="E197" i="7"/>
  <c r="E24" i="7"/>
  <c r="B212" i="2"/>
  <c r="E105" i="7"/>
  <c r="E274" i="7"/>
  <c r="E370" i="7"/>
  <c r="B76" i="2"/>
  <c r="E70" i="7"/>
  <c r="E181" i="7"/>
  <c r="E279" i="7"/>
  <c r="E184" i="7"/>
  <c r="B68" i="2"/>
  <c r="E76" i="7"/>
  <c r="B180" i="2"/>
  <c r="E119" i="7"/>
  <c r="E21" i="7"/>
  <c r="E341" i="7"/>
  <c r="B57" i="2"/>
  <c r="E253" i="7"/>
  <c r="E390" i="7"/>
  <c r="E313" i="7"/>
  <c r="B321" i="2"/>
  <c r="B30" i="2"/>
  <c r="E378" i="7"/>
  <c r="E271" i="7"/>
  <c r="B284" i="2"/>
  <c r="E198" i="7"/>
  <c r="B195" i="2"/>
  <c r="B137" i="2"/>
  <c r="B380" i="2"/>
  <c r="E330" i="7"/>
  <c r="B177" i="2"/>
  <c r="E143" i="7"/>
  <c r="E334" i="7"/>
  <c r="E17" i="7"/>
  <c r="B82" i="2"/>
  <c r="B355" i="2"/>
  <c r="E40" i="7"/>
  <c r="E179" i="7"/>
  <c r="E338" i="7"/>
  <c r="B32" i="2"/>
  <c r="E63" i="7"/>
  <c r="E249" i="7"/>
  <c r="E365" i="7"/>
  <c r="B90" i="2"/>
  <c r="B322" i="2"/>
  <c r="B286" i="2"/>
  <c r="E361" i="7"/>
  <c r="E45" i="7"/>
  <c r="B376" i="2"/>
  <c r="E55" i="7"/>
  <c r="B364" i="2"/>
  <c r="B173" i="2"/>
  <c r="E62" i="7"/>
  <c r="E34" i="7"/>
  <c r="B73" i="2"/>
  <c r="B156" i="2"/>
  <c r="B7" i="2"/>
  <c r="B99" i="2"/>
  <c r="E210" i="7"/>
  <c r="B198" i="2"/>
  <c r="E11" i="7"/>
  <c r="E295" i="7"/>
  <c r="E379" i="7"/>
  <c r="B302" i="2"/>
  <c r="B185" i="2"/>
  <c r="B113" i="2"/>
  <c r="B154" i="2"/>
  <c r="B268" i="2"/>
  <c r="B288" i="2"/>
  <c r="B148" i="2"/>
  <c r="B159" i="2"/>
  <c r="E3" i="7"/>
  <c r="B324" i="2"/>
  <c r="B18" i="2"/>
  <c r="B207" i="2"/>
  <c r="B24" i="2"/>
  <c r="E314" i="7"/>
  <c r="B8" i="2"/>
  <c r="E13" i="7"/>
  <c r="E310" i="7"/>
  <c r="B297" i="2"/>
  <c r="E256" i="7"/>
  <c r="B351" i="2"/>
  <c r="E100" i="7"/>
  <c r="B265" i="2"/>
  <c r="B169" i="2"/>
  <c r="E196" i="7"/>
  <c r="E238" i="7"/>
  <c r="B294" i="2"/>
  <c r="B381" i="2"/>
  <c r="E372" i="7"/>
  <c r="E266" i="7"/>
  <c r="E64" i="7"/>
  <c r="E316" i="7"/>
  <c r="B346" i="2"/>
  <c r="B145" i="2"/>
  <c r="E233" i="7"/>
  <c r="E234" i="7"/>
  <c r="E67" i="7"/>
  <c r="B217" i="2"/>
  <c r="B308" i="2"/>
  <c r="B109" i="2"/>
  <c r="B178" i="2"/>
  <c r="B205" i="2"/>
  <c r="B106" i="2"/>
  <c r="B233" i="2"/>
  <c r="E161" i="7"/>
  <c r="E26" i="7"/>
  <c r="E182" i="7"/>
  <c r="E332" i="7"/>
  <c r="E394" i="7"/>
  <c r="B239" i="2"/>
  <c r="B382" i="2"/>
  <c r="E73" i="7"/>
  <c r="E103" i="7"/>
  <c r="E245" i="7"/>
  <c r="B347" i="2"/>
  <c r="E204" i="7"/>
  <c r="B213" i="2"/>
  <c r="B369" i="2"/>
  <c r="E152" i="7"/>
  <c r="E297" i="7"/>
  <c r="E79" i="7"/>
  <c r="B123" i="2"/>
  <c r="E381" i="7"/>
  <c r="E331" i="7"/>
  <c r="E380" i="7"/>
  <c r="E277" i="7"/>
  <c r="B27" i="2"/>
  <c r="E186" i="7"/>
  <c r="E131" i="7"/>
  <c r="B222" i="2"/>
  <c r="B126" i="2"/>
  <c r="E251" i="7"/>
  <c r="B367" i="2"/>
  <c r="E187" i="7"/>
  <c r="B373" i="2"/>
  <c r="E147" i="7"/>
  <c r="B235" i="2"/>
  <c r="E167" i="7"/>
  <c r="B345" i="2"/>
  <c r="B338" i="2"/>
  <c r="E288" i="7"/>
  <c r="E153" i="7"/>
  <c r="B21" i="2"/>
  <c r="B79" i="2"/>
  <c r="E12" i="7"/>
  <c r="B105" i="2"/>
  <c r="B44" i="2"/>
  <c r="B74" i="2"/>
  <c r="B247" i="2"/>
  <c r="B340" i="2"/>
  <c r="E6" i="7"/>
  <c r="B144" i="2"/>
  <c r="E329" i="7"/>
  <c r="E106" i="7"/>
  <c r="B127" i="2"/>
  <c r="B38" i="2"/>
  <c r="B241" i="2"/>
  <c r="E296" i="7"/>
  <c r="B172" i="2"/>
  <c r="B167" i="2"/>
  <c r="B160" i="2"/>
  <c r="E244" i="7"/>
  <c r="E303" i="7"/>
  <c r="E308" i="7"/>
  <c r="B152" i="2"/>
  <c r="E123" i="7"/>
  <c r="E250" i="7"/>
  <c r="B171" i="2"/>
  <c r="E311" i="7"/>
  <c r="E104" i="7"/>
  <c r="E209" i="7"/>
  <c r="E346" i="7"/>
  <c r="B116" i="2"/>
  <c r="B388" i="2"/>
  <c r="E96" i="7"/>
  <c r="E376" i="7"/>
  <c r="E84" i="7"/>
  <c r="B360" i="2"/>
  <c r="B75" i="2"/>
  <c r="B396" i="2"/>
  <c r="B186" i="2"/>
  <c r="B229" i="2"/>
  <c r="E149" i="7"/>
  <c r="E82" i="7"/>
  <c r="B361" i="2"/>
  <c r="E254" i="7"/>
  <c r="E347" i="7"/>
  <c r="E301" i="7"/>
  <c r="B111" i="2"/>
  <c r="E201" i="7"/>
  <c r="E319" i="7"/>
  <c r="B122" i="2"/>
  <c r="B365" i="2"/>
  <c r="E180" i="7"/>
  <c r="B150" i="2"/>
  <c r="E285" i="7"/>
  <c r="B51" i="2"/>
  <c r="E111" i="7"/>
  <c r="E276" i="7"/>
  <c r="E25" i="7"/>
  <c r="E230" i="7"/>
  <c r="B66" i="2"/>
  <c r="E261" i="7"/>
  <c r="E112" i="7"/>
  <c r="B28" i="2"/>
  <c r="E154" i="7"/>
  <c r="B211" i="2"/>
  <c r="E160" i="7"/>
  <c r="B359" i="2"/>
  <c r="E255" i="7"/>
  <c r="B112" i="2"/>
  <c r="B223" i="2"/>
  <c r="B255" i="2"/>
  <c r="B61" i="2"/>
  <c r="E322" i="7"/>
  <c r="B182" i="2"/>
  <c r="E248" i="7"/>
  <c r="E117" i="7"/>
  <c r="B316" i="2"/>
  <c r="B22" i="2"/>
  <c r="B196" i="2"/>
  <c r="E352" i="7"/>
  <c r="E211" i="7"/>
  <c r="B263" i="2"/>
  <c r="E212" i="7"/>
  <c r="E150" i="7"/>
  <c r="E31" i="7"/>
  <c r="E374" i="7"/>
  <c r="B134" i="2"/>
  <c r="B118" i="2"/>
  <c r="E200" i="7"/>
  <c r="B352" i="2"/>
  <c r="B323" i="2"/>
  <c r="E377" i="7"/>
  <c r="B151" i="2"/>
  <c r="E159" i="7"/>
  <c r="B383" i="2"/>
  <c r="E194" i="7"/>
  <c r="B163" i="2"/>
  <c r="B15" i="2"/>
  <c r="B26" i="2"/>
  <c r="B52" i="2"/>
  <c r="E16" i="7"/>
  <c r="E221" i="7"/>
  <c r="E351" i="7"/>
  <c r="B358" i="2"/>
  <c r="B131" i="2"/>
  <c r="E195" i="7"/>
  <c r="E192" i="7"/>
  <c r="E162" i="7"/>
  <c r="E389" i="7"/>
  <c r="B281" i="2"/>
  <c r="E275" i="7"/>
  <c r="B234" i="2"/>
  <c r="E94" i="7"/>
  <c r="B35" i="2"/>
  <c r="B385" i="2"/>
  <c r="E220" i="7"/>
  <c r="B175" i="2"/>
  <c r="E263" i="7"/>
  <c r="E183" i="7"/>
  <c r="E353" i="7"/>
  <c r="E107" i="7"/>
  <c r="E59" i="7"/>
  <c r="B269" i="2"/>
  <c r="B97" i="2"/>
  <c r="E97" i="7"/>
  <c r="E375" i="7"/>
  <c r="B92" i="2"/>
  <c r="B362" i="2"/>
  <c r="E217" i="7"/>
  <c r="E273" i="7"/>
  <c r="B262" i="2"/>
  <c r="B395" i="2"/>
  <c r="E5" i="7"/>
  <c r="E92" i="7"/>
  <c r="B200" i="2"/>
  <c r="E61" i="7"/>
  <c r="B227" i="2"/>
  <c r="E282" i="7"/>
  <c r="B303" i="2"/>
  <c r="E259" i="7"/>
  <c r="B258" i="2"/>
  <c r="B259" i="2"/>
  <c r="E393" i="7"/>
  <c r="B283" i="2"/>
  <c r="B363" i="2"/>
  <c r="E133" i="7"/>
  <c r="B266" i="2"/>
  <c r="B104" i="2"/>
  <c r="E9" i="7"/>
  <c r="E165" i="7"/>
  <c r="E246" i="7"/>
  <c r="E315" i="7"/>
  <c r="B46" i="2"/>
  <c r="B36" i="2"/>
  <c r="B257" i="2"/>
  <c r="B4" i="2"/>
  <c r="E49" i="7"/>
  <c r="B188" i="2"/>
  <c r="B309" i="2"/>
  <c r="B230" i="2"/>
  <c r="E7" i="7"/>
  <c r="B343" i="2"/>
  <c r="B13" i="2"/>
  <c r="B344" i="2"/>
  <c r="E129" i="7"/>
  <c r="E60" i="7"/>
  <c r="B224" i="2"/>
  <c r="E309" i="7"/>
  <c r="B88" i="2"/>
  <c r="B274" i="2"/>
  <c r="E43" i="7"/>
  <c r="B210" i="2"/>
  <c r="B11" i="2"/>
  <c r="E382" i="7"/>
  <c r="B342" i="2"/>
  <c r="E116" i="7"/>
  <c r="E231" i="7"/>
  <c r="E364" i="7"/>
  <c r="B14" i="2"/>
  <c r="B275" i="2"/>
  <c r="B31" i="2"/>
  <c r="B387" i="2"/>
  <c r="E229" i="7"/>
  <c r="E168" i="7"/>
  <c r="B37" i="2"/>
  <c r="B289" i="2"/>
  <c r="E28" i="7"/>
  <c r="E224" i="7"/>
  <c r="E135" i="7"/>
  <c r="B184" i="2"/>
  <c r="B81" i="2"/>
  <c r="E120" i="7"/>
  <c r="B292" i="2"/>
  <c r="E93" i="7"/>
  <c r="B390" i="2"/>
  <c r="E178" i="7"/>
  <c r="B162" i="2"/>
  <c r="E387" i="7"/>
  <c r="B108" i="2"/>
  <c r="B264" i="2"/>
  <c r="E242" i="7"/>
  <c r="E366" i="7"/>
  <c r="B315" i="2"/>
  <c r="E141" i="7"/>
  <c r="B240" i="2"/>
  <c r="B203" i="2"/>
  <c r="E166" i="7"/>
  <c r="B384" i="2"/>
  <c r="E37" i="7"/>
  <c r="B341" i="2"/>
  <c r="E102" i="7"/>
  <c r="E77" i="7"/>
  <c r="B370" i="2"/>
  <c r="B348" i="2"/>
  <c r="B379" i="2"/>
  <c r="B45" i="2"/>
  <c r="B306" i="2"/>
  <c r="B375" i="2"/>
  <c r="E235" i="7"/>
  <c r="E199" i="7"/>
  <c r="E148" i="7"/>
  <c r="E269" i="7"/>
  <c r="B130" i="2"/>
  <c r="B313" i="2"/>
  <c r="B194" i="2"/>
  <c r="B214" i="2"/>
  <c r="E260" i="7"/>
  <c r="B77" i="2"/>
  <c r="E189" i="7"/>
  <c r="B393" i="2"/>
  <c r="B95" i="2"/>
  <c r="B377" i="2"/>
  <c r="B339" i="2"/>
  <c r="E69" i="7"/>
  <c r="E335" i="7"/>
  <c r="E170" i="7"/>
  <c r="B291" i="2"/>
  <c r="E18" i="7"/>
  <c r="E289" i="7"/>
  <c r="E290" i="7"/>
  <c r="B290" i="2"/>
  <c r="E213" i="7"/>
  <c r="B189" i="2"/>
  <c r="B54" i="2"/>
  <c r="B55" i="2"/>
  <c r="E343" i="7"/>
  <c r="E121" i="7"/>
  <c r="E205" i="7"/>
  <c r="B368" i="2"/>
  <c r="B353" i="2"/>
  <c r="B226" i="2"/>
  <c r="E265" i="7"/>
  <c r="B314" i="2"/>
  <c r="E91" i="7"/>
  <c r="E214" i="7"/>
  <c r="B47" i="2"/>
  <c r="E395" i="7"/>
  <c r="B176" i="2"/>
  <c r="E339" i="7"/>
  <c r="E333" i="7"/>
  <c r="B87" i="2"/>
  <c r="E247" i="7"/>
  <c r="E191" i="7"/>
  <c r="E175" i="7"/>
  <c r="B158" i="2"/>
  <c r="B193" i="2"/>
  <c r="B278" i="2"/>
  <c r="B197" i="2"/>
  <c r="E203" i="7"/>
  <c r="E188" i="7"/>
  <c r="B17" i="2"/>
  <c r="B252" i="2"/>
  <c r="B334" i="2"/>
  <c r="B335" i="2"/>
  <c r="B231" i="2"/>
  <c r="B20" i="2"/>
  <c r="E368" i="7"/>
  <c r="B260" i="2"/>
  <c r="E236" i="7"/>
  <c r="E312" i="7"/>
  <c r="B183" i="2"/>
  <c r="B136" i="2"/>
  <c r="E348" i="7"/>
  <c r="B141" i="2"/>
  <c r="E58" i="7"/>
  <c r="E169" i="7"/>
  <c r="E193" i="7"/>
  <c r="B86" i="2"/>
  <c r="B277" i="2"/>
  <c r="B96" i="2"/>
  <c r="E216" i="7"/>
  <c r="E138" i="7"/>
  <c r="B254" i="2"/>
  <c r="E206" i="7"/>
  <c r="B374" i="2"/>
  <c r="E363" i="7"/>
  <c r="B142" i="2"/>
  <c r="B249" i="2"/>
  <c r="B209" i="2"/>
  <c r="E109" i="7"/>
  <c r="B330" i="2"/>
  <c r="B287" i="2"/>
  <c r="B161" i="2"/>
  <c r="B138" i="2"/>
  <c r="B282" i="2"/>
  <c r="E287" i="7"/>
  <c r="E2" i="7"/>
  <c r="B133" i="2"/>
  <c r="B143" i="2"/>
  <c r="E278" i="7"/>
  <c r="E86" i="7"/>
  <c r="E385" i="7"/>
  <c r="B256" i="2"/>
  <c r="E66" i="7"/>
  <c r="E222" i="7"/>
  <c r="E115" i="7"/>
  <c r="E355" i="7"/>
  <c r="E46" i="7"/>
  <c r="E185" i="7"/>
  <c r="B219" i="2"/>
  <c r="E83" i="7"/>
  <c r="E386" i="7"/>
  <c r="B70" i="2"/>
  <c r="B98" i="2"/>
  <c r="B190" i="2"/>
  <c r="E54" i="7"/>
  <c r="B93" i="2"/>
  <c r="E306" i="7"/>
  <c r="E367" i="7"/>
  <c r="B199" i="2"/>
  <c r="E125" i="7"/>
  <c r="B248" i="2"/>
  <c r="B356" i="2"/>
  <c r="B192" i="2"/>
  <c r="B60" i="2"/>
  <c r="E240" i="7"/>
  <c r="B139" i="2"/>
  <c r="E134" i="7"/>
  <c r="B208" i="2"/>
  <c r="B164" i="2"/>
  <c r="B140" i="2"/>
  <c r="E95" i="7"/>
  <c r="E124" i="7"/>
  <c r="E257" i="7"/>
  <c r="E68" i="7"/>
  <c r="E39" i="7"/>
  <c r="E42" i="7"/>
  <c r="B124" i="2"/>
  <c r="B372" i="2"/>
  <c r="E48" i="7"/>
  <c r="E23" i="7"/>
  <c r="B50" i="2"/>
  <c r="E145" i="7"/>
  <c r="B149" i="2"/>
  <c r="E360" i="7"/>
  <c r="E151" i="7"/>
  <c r="E340" i="7"/>
  <c r="B64" i="2"/>
  <c r="E344" i="7"/>
  <c r="B293" i="2"/>
  <c r="E292" i="7"/>
  <c r="E36" i="7"/>
  <c r="B65" i="2"/>
  <c r="B62" i="2"/>
  <c r="E158" i="7"/>
  <c r="B83" i="2"/>
  <c r="B128" i="2"/>
  <c r="B23" i="2"/>
  <c r="B102" i="2"/>
  <c r="E29" i="7"/>
  <c r="B394" i="2"/>
  <c r="E113" i="7"/>
  <c r="E359" i="7"/>
  <c r="B19" i="2"/>
  <c r="B107" i="2"/>
  <c r="E172" i="7"/>
  <c r="E110" i="7"/>
  <c r="E284" i="7"/>
  <c r="B298" i="2"/>
  <c r="E283" i="7"/>
  <c r="B33" i="2"/>
  <c r="B295" i="2"/>
  <c r="B279" i="2"/>
  <c r="B221" i="2"/>
  <c r="E15" i="7"/>
  <c r="E171" i="7"/>
  <c r="E357" i="7"/>
  <c r="B299" i="2"/>
  <c r="B6" i="2"/>
  <c r="E294" i="7"/>
  <c r="B391" i="2"/>
  <c r="E299" i="7"/>
  <c r="B333" i="2"/>
  <c r="E65" i="7"/>
  <c r="E320" i="7"/>
  <c r="B215" i="2"/>
  <c r="E30" i="7"/>
  <c r="B280" i="2"/>
  <c r="E280" i="7"/>
  <c r="B135" i="2"/>
  <c r="B319" i="2"/>
  <c r="E118" i="7"/>
  <c r="B146" i="2"/>
  <c r="E228" i="7"/>
  <c r="B300" i="2"/>
  <c r="B304" i="2"/>
  <c r="B311" i="2"/>
  <c r="B216" i="2"/>
  <c r="E225" i="7"/>
  <c r="E321" i="7"/>
  <c r="B236" i="2"/>
  <c r="E177" i="7"/>
  <c r="E207" i="7"/>
  <c r="B166" i="2"/>
  <c r="B59" i="2"/>
  <c r="E281" i="7"/>
  <c r="E286" i="7"/>
  <c r="B9" i="2"/>
  <c r="E99" i="7"/>
  <c r="B121" i="2"/>
  <c r="B246" i="2"/>
  <c r="E139" i="7"/>
  <c r="B326" i="2"/>
  <c r="E14" i="7"/>
  <c r="B357" i="2"/>
  <c r="B332" i="2"/>
  <c r="B261" i="2"/>
  <c r="B42" i="2"/>
  <c r="B242" i="2"/>
  <c r="E87" i="7"/>
  <c r="B371" i="2"/>
  <c r="B153" i="2"/>
  <c r="B202" i="2"/>
  <c r="E71" i="7"/>
  <c r="B3" i="2"/>
  <c r="E369" i="7"/>
  <c r="E190" i="7"/>
  <c r="B386" i="2"/>
  <c r="B273" i="2"/>
  <c r="E345" i="7"/>
  <c r="B80" i="2"/>
  <c r="B296" i="2"/>
  <c r="E342" i="7"/>
  <c r="E101" i="7"/>
  <c r="E157" i="7"/>
  <c r="B56" i="2"/>
  <c r="B325" i="2"/>
  <c r="E291" i="7"/>
  <c r="E128" i="7"/>
  <c r="E90" i="7"/>
  <c r="E122" i="7"/>
  <c r="E383" i="7"/>
  <c r="E262" i="7"/>
  <c r="B168" i="2"/>
  <c r="B350" i="2"/>
  <c r="B114" i="2"/>
  <c r="B94" i="2"/>
  <c r="B29" i="2"/>
  <c r="E142" i="7"/>
  <c r="E371" i="7"/>
  <c r="E327" i="7"/>
  <c r="E137" i="7"/>
  <c r="B201" i="2"/>
  <c r="B307" i="2"/>
  <c r="E218" i="7"/>
  <c r="E396" i="7"/>
  <c r="E358" i="7"/>
  <c r="E47" i="7"/>
  <c r="B206" i="2"/>
  <c r="E356" i="7"/>
  <c r="B34" i="2"/>
  <c r="E44" i="7"/>
  <c r="E174" i="7"/>
  <c r="B10" i="2"/>
  <c r="E272" i="7"/>
  <c r="B253" i="2"/>
  <c r="B267" i="2"/>
  <c r="E85" i="7"/>
  <c r="E89" i="7"/>
  <c r="B63" i="2"/>
  <c r="E81" i="7"/>
  <c r="B101" i="2"/>
  <c r="B89" i="2"/>
  <c r="E223" i="7"/>
  <c r="E293" i="7"/>
  <c r="B187" i="2"/>
  <c r="B329" i="2"/>
  <c r="E227" i="7"/>
  <c r="E146" i="7"/>
  <c r="E239" i="7"/>
  <c r="E98" i="7"/>
  <c r="E114" i="7"/>
  <c r="B336" i="2"/>
  <c r="B157" i="2"/>
  <c r="B328" i="2"/>
  <c r="B251" i="2"/>
  <c r="E304" i="7"/>
  <c r="B318" i="2"/>
  <c r="B117" i="2"/>
  <c r="B276" i="2"/>
  <c r="E232" i="7"/>
  <c r="E300" i="7"/>
  <c r="B320" i="2"/>
  <c r="E50" i="7"/>
  <c r="E326" i="7"/>
  <c r="B271" i="2"/>
  <c r="B378" i="2"/>
  <c r="E362" i="7"/>
  <c r="E268" i="7"/>
  <c r="B331" i="2"/>
  <c r="B2" i="2"/>
  <c r="B39" i="2"/>
  <c r="B181" i="2"/>
  <c r="E53" i="7"/>
  <c r="B237" i="2"/>
  <c r="B48" i="2"/>
  <c r="B25" i="2"/>
  <c r="B72" i="2"/>
  <c r="B204" i="2"/>
  <c r="E305" i="7"/>
  <c r="B312" i="2"/>
  <c r="E56" i="7"/>
  <c r="E373" i="7"/>
  <c r="E337" i="7"/>
  <c r="B120" i="2"/>
  <c r="B40" i="2"/>
  <c r="E176" i="7"/>
  <c r="B243" i="2"/>
  <c r="E243" i="7"/>
  <c r="E127" i="7"/>
  <c r="B349" i="2"/>
  <c r="B354" i="2"/>
  <c r="E164" i="7"/>
  <c r="E4" i="7"/>
  <c r="B232" i="2"/>
  <c r="B132" i="2"/>
  <c r="B12" i="2"/>
  <c r="B165" i="2"/>
  <c r="E226" i="7"/>
  <c r="B58" i="2"/>
  <c r="B220" i="2"/>
  <c r="B317" i="2"/>
  <c r="E391" i="7"/>
  <c r="E78" i="7"/>
  <c r="E38" i="7"/>
  <c r="B392" i="2"/>
  <c r="E392" i="7"/>
  <c r="E155" i="7"/>
  <c r="B228" i="2"/>
  <c r="E32" i="7"/>
  <c r="B125" i="2"/>
  <c r="B84" i="2"/>
  <c r="B272" i="2"/>
  <c r="E57" i="7"/>
  <c r="B389" i="2"/>
  <c r="B174" i="2"/>
  <c r="B91" i="2"/>
  <c r="B115" i="2"/>
  <c r="B155" i="2"/>
  <c r="E298" i="7"/>
  <c r="B67" i="2"/>
  <c r="B43" i="2"/>
  <c r="B327" i="2"/>
  <c r="B119" i="2"/>
  <c r="E317" i="7"/>
  <c r="E350" i="7"/>
  <c r="E325" i="7"/>
  <c r="E140" i="7"/>
  <c r="B16" i="2"/>
  <c r="B301" i="2"/>
  <c r="E270" i="7"/>
  <c r="E349" i="7"/>
  <c r="E258" i="7"/>
  <c r="B244" i="2"/>
  <c r="E33" i="7"/>
  <c r="E163" i="7"/>
  <c r="B22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FB3C63-AFAD-4FBB-8ACA-6D43D3660DED}" keepAlive="1" name="Query - family_background" description="Connection to the 'family_background' query in the workbook." type="5" refreshedVersion="8" background="1" saveData="1">
    <dbPr connection="Provider=Microsoft.Mashup.OleDb.1;Data Source=$Workbook$;Location=family_background;Extended Properties=&quot;&quot;" command="SELECT * FROM [family_background]"/>
  </connection>
  <connection id="2" xr16:uid="{D5FCA3EA-5B6C-4E6A-9E87-0B7BA52392C8}" keepAlive="1" name="Query - grades" description="Connection to the 'grades' query in the workbook." type="5" refreshedVersion="8" background="1" saveData="1">
    <dbPr connection="Provider=Microsoft.Mashup.OleDb.1;Data Source=$Workbook$;Location=grades;Extended Properties=&quot;&quot;" command="SELECT * FROM [grades]"/>
  </connection>
  <connection id="3" xr16:uid="{69BBB64B-2E3C-4BCA-9392-AA6D129A3088}" keepAlive="1" name="Query - lifestyle" description="Connection to the 'lifestyle' query in the workbook." type="5" refreshedVersion="8" background="1" saveData="1">
    <dbPr connection="Provider=Microsoft.Mashup.OleDb.1;Data Source=$Workbook$;Location=lifestyle;Extended Properties=&quot;&quot;" command="SELECT * FROM [lifestyle]"/>
  </connection>
  <connection id="4" xr16:uid="{3FC14605-EB95-4266-93DA-594E1D8BA630}" keepAlive="1" name="Query - school_life" description="Connection to the 'school_life' query in the workbook." type="5" refreshedVersion="8" background="1" saveData="1">
    <dbPr connection="Provider=Microsoft.Mashup.OleDb.1;Data Source=$Workbook$;Location=school_life;Extended Properties=&quot;&quot;" command="SELECT * FROM [school_life]"/>
  </connection>
  <connection id="5" xr16:uid="{C4572242-242A-4C7B-B9F6-4685FF81315D}" keepAlive="1" name="Query - schools" description="Connection to the 'schools' query in the workbook." type="5" refreshedVersion="8" background="1" saveData="1">
    <dbPr connection="Provider=Microsoft.Mashup.OleDb.1;Data Source=$Workbook$;Location=schools;Extended Properties=&quot;&quot;" command="SELECT * FROM [schools]"/>
  </connection>
  <connection id="6" xr16:uid="{1EF7FD0E-0611-42DA-9271-9ADF98A96FD3}" keepAlive="1" name="Query - students" description="Connection to the 'students' query in the workbook." type="5" refreshedVersion="8" background="1" saveData="1">
    <dbPr connection="Provider=Microsoft.Mashup.OleDb.1;Data Source=$Workbook$;Location=students;Extended Properties=&quot;&quot;" command="SELECT * FROM [students]"/>
  </connection>
  <connection id="7" xr16:uid="{F261AC6F-0555-45CC-8B2A-418AE735D87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CB8182D-B960-4AB5-8853-1DAAC1803337}" name="WorksheetConnection_S426.xlsx!tbl_FamilyBackground" type="102" refreshedVersion="8" minRefreshableVersion="5">
    <extLst>
      <ext xmlns:x15="http://schemas.microsoft.com/office/spreadsheetml/2010/11/main" uri="{DE250136-89BD-433C-8126-D09CA5730AF9}">
        <x15:connection id="tbl_FamilyBackground">
          <x15:rangePr sourceName="_xlcn.WorksheetConnection_S426.xlsxtbl_FamilyBackground1"/>
        </x15:connection>
      </ext>
    </extLst>
  </connection>
  <connection id="9" xr16:uid="{57E5B376-4A38-4F57-BDDC-4A87C8B3B12D}" name="WorksheetConnection_S426.xlsx!tbl_Grades" type="102" refreshedVersion="8" minRefreshableVersion="5">
    <extLst>
      <ext xmlns:x15="http://schemas.microsoft.com/office/spreadsheetml/2010/11/main" uri="{DE250136-89BD-433C-8126-D09CA5730AF9}">
        <x15:connection id="tbl_Grades">
          <x15:rangePr sourceName="_xlcn.WorksheetConnection_S426.xlsxtbl_Grades1"/>
        </x15:connection>
      </ext>
    </extLst>
  </connection>
  <connection id="10" xr16:uid="{919AA4B9-EC41-4137-B8A6-B5E47699D07D}" name="WorksheetConnection_S426.xlsx!tbl_Lifestyle" type="102" refreshedVersion="8" minRefreshableVersion="5">
    <extLst>
      <ext xmlns:x15="http://schemas.microsoft.com/office/spreadsheetml/2010/11/main" uri="{DE250136-89BD-433C-8126-D09CA5730AF9}">
        <x15:connection id="tbl_Lifestyle">
          <x15:rangePr sourceName="_xlcn.WorksheetConnection_S426.xlsxtbl_Lifestyle1"/>
        </x15:connection>
      </ext>
    </extLst>
  </connection>
  <connection id="11" xr16:uid="{6E00EF2D-BB06-4942-89C1-34ECA789320F}" name="WorksheetConnection_S426.xlsx!tbl_SchoolLife" type="102" refreshedVersion="8" minRefreshableVersion="5">
    <extLst>
      <ext xmlns:x15="http://schemas.microsoft.com/office/spreadsheetml/2010/11/main" uri="{DE250136-89BD-433C-8126-D09CA5730AF9}">
        <x15:connection id="tbl_SchoolLife">
          <x15:rangePr sourceName="_xlcn.WorksheetConnection_S426.xlsxtbl_SchoolLife1"/>
        </x15:connection>
      </ext>
    </extLst>
  </connection>
  <connection id="12" xr16:uid="{B316273D-FE45-462C-9E8B-D90EC3E03CF0}" name="WorksheetConnection_S426.xlsx!tbl_Schools" type="102" refreshedVersion="8" minRefreshableVersion="5">
    <extLst>
      <ext xmlns:x15="http://schemas.microsoft.com/office/spreadsheetml/2010/11/main" uri="{DE250136-89BD-433C-8126-D09CA5730AF9}">
        <x15:connection id="tbl_Schools">
          <x15:rangePr sourceName="_xlcn.WorksheetConnection_S426.xlsxtbl_Schools1"/>
        </x15:connection>
      </ext>
    </extLst>
  </connection>
  <connection id="13" xr16:uid="{380BCB59-EC50-45FB-BFEE-8ED5F7130AA0}" name="WorksheetConnection_S426.xlsx!tbl_Students" type="102" refreshedVersion="8" minRefreshableVersion="5">
    <extLst>
      <ext xmlns:x15="http://schemas.microsoft.com/office/spreadsheetml/2010/11/main" uri="{DE250136-89BD-433C-8126-D09CA5730AF9}">
        <x15:connection id="tbl_Students">
          <x15:rangePr sourceName="_xlcn.WorksheetConnection_S426.xlsxtbl_Students1"/>
        </x15:connection>
      </ext>
    </extLst>
  </connection>
</connections>
</file>

<file path=xl/metadata.xml><?xml version="1.0" encoding="utf-8"?>
<metadata xmlns="http://schemas.openxmlformats.org/spreadsheetml/2006/main">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8">
    <s v="ThisWorkbookDataModel"/>
    <s v="[Measures].[Average Final Grade]"/>
    <s v="[Measures].[Pass Rate (%)]"/>
    <s v="0.00%;-0.00%;0.00%"/>
    <s v="0.0"/>
    <s v="[Measures].[Avg Absences]"/>
    <s v="0"/>
    <s v="[Measures].[High Absentee Count]"/>
  </metadataStrings>
  <mdxMetadata count="4">
    <mdx n="0" f="v">
      <t c="1" si="3">
        <n x="2"/>
      </t>
    </mdx>
    <mdx n="0" f="v">
      <t c="1" si="4">
        <n x="1"/>
      </t>
    </mdx>
    <mdx n="0" f="v">
      <t c="1" si="6">
        <n x="5"/>
      </t>
    </mdx>
    <mdx n="0" f="v">
      <t c="1" fi="0">
        <n x="7"/>
      </t>
    </mdx>
  </mdxMetadata>
  <futureMetadata name="XLDAPR" count="1">
    <bk>
      <extLst>
        <ext xmlns:xda="http://schemas.microsoft.com/office/spreadsheetml/2017/dynamicarray"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<sst xmlns="http://schemas.openxmlformats.org/spreadsheetml/2006/main" count="7261" uniqueCount="131">
  <si>
    <t>student_id</t>
  </si>
  <si>
    <t>activities</t>
  </si>
  <si>
    <t>internet_access</t>
  </si>
  <si>
    <t>romantic_relationship</t>
  </si>
  <si>
    <t>family_relationship</t>
  </si>
  <si>
    <t>free_time</t>
  </si>
  <si>
    <t>social</t>
  </si>
  <si>
    <t>weekday_alcohol</t>
  </si>
  <si>
    <t>weekend_alcohol</t>
  </si>
  <si>
    <t>health</t>
  </si>
  <si>
    <t>absences</t>
  </si>
  <si>
    <t>no</t>
  </si>
  <si>
    <t>yes</t>
  </si>
  <si>
    <t>sex</t>
  </si>
  <si>
    <t>age</t>
  </si>
  <si>
    <t>address_type</t>
  </si>
  <si>
    <t>family_size</t>
  </si>
  <si>
    <t>parent_status</t>
  </si>
  <si>
    <t>guardian</t>
  </si>
  <si>
    <t>school_id</t>
  </si>
  <si>
    <t>F</t>
  </si>
  <si>
    <t>Urban</t>
  </si>
  <si>
    <t>Greater than 3</t>
  </si>
  <si>
    <t>Apart</t>
  </si>
  <si>
    <t>Living together</t>
  </si>
  <si>
    <t>Less than or equal to 3</t>
  </si>
  <si>
    <t>M</t>
  </si>
  <si>
    <t>other</t>
  </si>
  <si>
    <t>Rural</t>
  </si>
  <si>
    <t>school_code</t>
  </si>
  <si>
    <t>school_name</t>
  </si>
  <si>
    <t>GP</t>
  </si>
  <si>
    <t>Gabriel Pereira</t>
  </si>
  <si>
    <t>MS</t>
  </si>
  <si>
    <t>Mousinho da Silveira</t>
  </si>
  <si>
    <t>school_choice_reason</t>
  </si>
  <si>
    <t>travel_time</t>
  </si>
  <si>
    <t>study_time</t>
  </si>
  <si>
    <t>class_failures</t>
  </si>
  <si>
    <t>school_support</t>
  </si>
  <si>
    <t>family_support</t>
  </si>
  <si>
    <t>extra_paid_classes</t>
  </si>
  <si>
    <t>nursery_school</t>
  </si>
  <si>
    <t>higher_ed</t>
  </si>
  <si>
    <t>course</t>
  </si>
  <si>
    <t>15 to 30 min.</t>
  </si>
  <si>
    <t>2 to 5 hours</t>
  </si>
  <si>
    <t>&lt;15 min.</t>
  </si>
  <si>
    <t>home</t>
  </si>
  <si>
    <t>5 to 10 hours</t>
  </si>
  <si>
    <t>reputation</t>
  </si>
  <si>
    <t>30 min. to 1 hour</t>
  </si>
  <si>
    <t>&lt;2 hours</t>
  </si>
  <si>
    <t>&gt;10 hours</t>
  </si>
  <si>
    <t>&gt;1 hour</t>
  </si>
  <si>
    <t>grade_1</t>
  </si>
  <si>
    <t>grade_2</t>
  </si>
  <si>
    <t>final_grade</t>
  </si>
  <si>
    <t>mother_education</t>
  </si>
  <si>
    <t>father_education</t>
  </si>
  <si>
    <t>mother_job</t>
  </si>
  <si>
    <t>father_job</t>
  </si>
  <si>
    <t>higher education</t>
  </si>
  <si>
    <t>at_home</t>
  </si>
  <si>
    <t>teacher</t>
  </si>
  <si>
    <t>primary education (4th grade)</t>
  </si>
  <si>
    <t>5th to 9th grade</t>
  </si>
  <si>
    <t>services</t>
  </si>
  <si>
    <t>secondary education</t>
  </si>
  <si>
    <t>none</t>
  </si>
  <si>
    <t xml:space="preserve">• Manipulating Text </t>
  </si>
  <si>
    <t xml:space="preserve">• Working with Numbers </t>
  </si>
  <si>
    <t xml:space="preserve">• Working with Dates </t>
  </si>
  <si>
    <t>Analysis Named Ranges Directory</t>
  </si>
  <si>
    <t>Average Final Grade </t>
  </si>
  <si>
    <t>Highest Grade </t>
  </si>
  <si>
    <t>Lowest Grade </t>
  </si>
  <si>
    <t>Students Passing (&gt;10) </t>
  </si>
  <si>
    <t>Pass Rate % </t>
  </si>
  <si>
    <t>Average Absences </t>
  </si>
  <si>
    <t>Students with 0 Absences </t>
  </si>
  <si>
    <t>High Absentees (&gt;20 days) </t>
  </si>
  <si>
    <t>Result</t>
  </si>
  <si>
    <t>Performance_Category</t>
  </si>
  <si>
    <t>At_Risk</t>
  </si>
  <si>
    <t>LOGICAL FUNCTION</t>
  </si>
  <si>
    <t>School_Name</t>
  </si>
  <si>
    <t>.</t>
  </si>
  <si>
    <t>Threshold</t>
  </si>
  <si>
    <t>PassRate%</t>
  </si>
  <si>
    <t>Sensitivity Analysis</t>
  </si>
  <si>
    <t>Goal Seeking Analysis</t>
  </si>
  <si>
    <t>Power Pivot KPIs</t>
  </si>
  <si>
    <t>Avg Final Grade</t>
  </si>
  <si>
    <t>School</t>
  </si>
  <si>
    <t>Avg Grade</t>
  </si>
  <si>
    <t>Period</t>
  </si>
  <si>
    <t>Average</t>
  </si>
  <si>
    <t>Grade 1</t>
  </si>
  <si>
    <t>Grade 2</t>
  </si>
  <si>
    <t>Final Grade</t>
  </si>
  <si>
    <t>Access</t>
  </si>
  <si>
    <t>Count</t>
  </si>
  <si>
    <t>Yes</t>
  </si>
  <si>
    <t>No</t>
  </si>
  <si>
    <t>Absences</t>
  </si>
  <si>
    <t>Student Count</t>
  </si>
  <si>
    <t>Row Labels</t>
  </si>
  <si>
    <t>Grand Total</t>
  </si>
  <si>
    <t>Average Final Grade</t>
  </si>
  <si>
    <t>Pass Rate (%)</t>
  </si>
  <si>
    <t>High Absentee Count</t>
  </si>
  <si>
    <t>mother</t>
  </si>
  <si>
    <t>father</t>
  </si>
  <si>
    <t>YES</t>
  </si>
  <si>
    <t>NO</t>
  </si>
  <si>
    <t>Average Assesment Grade</t>
  </si>
  <si>
    <t>Passing Rate (%)</t>
  </si>
  <si>
    <t>Average Absences</t>
  </si>
  <si>
    <t>Schoolscope Analytics Dashboard</t>
  </si>
  <si>
    <t>Location vs Performance</t>
  </si>
  <si>
    <t>Gender vs Performance</t>
  </si>
  <si>
    <t>Count of student_id</t>
  </si>
  <si>
    <t>Age_Group</t>
  </si>
  <si>
    <t>15-16</t>
  </si>
  <si>
    <t>17-18</t>
  </si>
  <si>
    <t>19-20</t>
  </si>
  <si>
    <t>21-22</t>
  </si>
  <si>
    <t>Grade Ratio</t>
  </si>
  <si>
    <t>Total Students</t>
  </si>
  <si>
    <t>Average Grade by Parent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</si>
</sst>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
  </numFmts>
  <fonts count="7"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
      <b/>
      <sz val="28"/>
      <color rgb="FF002060"/>
      <name val="Calibri"/>
      <family val="2"/>
      <scheme val="minor"/>
    </font>
    <font>
      <sz val="24"/>
      <color theme="1"/>
      <name val="Calibri"/>
      <family val="2"/>
      <scheme val="minor"/>
    </font>
    <font>
      <sz val="11"/>
      <color theme="9" tint="-0.499984740745262"/>
      <name val="Calibri"/>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47">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 fontId="0" fillId="0" borderId="0" xfId="0" applyNumberFormat="1"/>
    <xf numFmtId="1" fontId="0" fillId="0" borderId="0" xfId="0" applyNumberFormat="1"/>
    <xf numFmtId="10" fontId="0" fillId="0" borderId="0" xfId="0" applyNumberFormat="1"/>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5" fillId="0" borderId="0" xfId="0" applyFont="1" applyAlignment="1">
      <alignment vertical="center"/>
    </xf>
    <xf numFmtId="0" fontId="6" fillId="6" borderId="0" xfId="0" applyFont="1" applyFill="1"/>
    <xf numFmtId="0" fontId="4" fillId="6" borderId="0" xfId="0" applyFont="1" applyFill="1" applyAlignment="1">
      <alignment vertical="center"/>
    </xf>
    <xf numFmtId="0" fontId="0" fillId="10" borderId="0" xfId="0" applyFill="1"/>
    <xf numFmtId="0" fontId="0" fillId="0" borderId="7" xfId="0" applyBorder="1"/>
    <xf numFmtId="0" fontId="0" fillId="0" borderId="8" xfId="0" applyBorder="1"/>
    <xf numFmtId="0" fontId="0" fillId="0" borderId="0" xfId="0" applyAlignment="1">
      <alignment horizontal="left" indent="1"/>
    </xf>
    <xf numFmtId="2" fontId="0" fillId="0" borderId="0" xfId="0" pivotButton="1" applyNumberFormat="1"/>
    <xf numFmtId="0" fontId="3" fillId="8" borderId="3" xfId="0" applyFont="1" applyFill="1" applyBorder="1" applyAlignment="1">
      <alignment vertical="center"/>
    </xf>
    <xf numFmtId="0" fontId="0" fillId="8" borderId="3" xfId="0" applyFill="1" applyBorder="1" applyAlignment="1">
      <alignment vertical="center"/>
    </xf>
    <xf numFmtId="0" fontId="0" fillId="8" borderId="0" xfId="0" applyFill="1" applyAlignment="1">
      <alignment vertical="center"/>
    </xf>
    <xf numFmtId="0" fontId="0" fillId="0" borderId="0" xfId="0" applyAlignment="1">
      <alignment horizontal="center"/>
    </xf>
    <xf numFmtId="0" fontId="0" fillId="5" borderId="0" xfId="0" applyFill="1" applyAlignment="1">
      <alignment horizontal="center" vertical="center"/>
    </xf>
    <xf numFmtId="0" fontId="0" fillId="4" borderId="0" xfId="0" applyFill="1" applyAlignment="1">
      <alignment horizontal="center" vertical="center"/>
    </xf>
    <xf numFmtId="0" fontId="3" fillId="9" borderId="2"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5" xfId="0" applyFont="1" applyFill="1" applyBorder="1" applyAlignment="1">
      <alignment horizontal="center" vertical="center"/>
    </xf>
    <xf numFmtId="0" fontId="3" fillId="9" borderId="0" xfId="0" applyFont="1" applyFill="1" applyAlignment="1">
      <alignment horizontal="center" vertical="center"/>
    </xf>
    <xf numFmtId="0" fontId="0" fillId="0" borderId="6"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3" fillId="9" borderId="2" xfId="0" applyFont="1" applyFill="1" applyBorder="1" applyAlignment="1">
      <alignment horizontal="center" vertical="center" wrapText="1"/>
    </xf>
    <xf numFmtId="0" fontId="0" fillId="9" borderId="3" xfId="0" applyFill="1" applyBorder="1" applyAlignment="1">
      <alignment horizontal="center" vertical="center" wrapText="1"/>
    </xf>
    <xf numFmtId="0" fontId="0" fillId="9" borderId="5" xfId="0" applyFill="1" applyBorder="1" applyAlignment="1">
      <alignment horizontal="center" vertical="center" wrapText="1"/>
    </xf>
    <xf numFmtId="0" fontId="0" fillId="9" borderId="0" xfId="0" applyFill="1" applyAlignment="1">
      <alignment horizontal="center" vertical="center" wrapText="1"/>
    </xf>
    <xf numFmtId="0" fontId="5" fillId="2" borderId="0" xfId="0" applyFont="1" applyFill="1" applyAlignment="1">
      <alignment horizontal="center" vertical="center"/>
    </xf>
    <xf numFmtId="0" fontId="5" fillId="7" borderId="0" xfId="0" applyFont="1" applyFill="1" applyAlignment="1">
      <alignment horizontal="center" vertical="center"/>
    </xf>
    <xf numFmtId="0" fontId="4" fillId="6" borderId="0" xfId="0" applyFont="1" applyFill="1" applyAlignment="1">
      <alignment horizontal="center" vertical="center"/>
    </xf>
    <xf numFmtId="0" fontId="3" fillId="7" borderId="0" xfId="0" applyFont="1" applyFill="1" applyAlignment="1">
      <alignment horizontal="center" vertical="center"/>
    </xf>
    <xf numFmtId="0" fontId="3" fillId="5" borderId="0" xfId="0" applyFont="1" applyFill="1" applyAlignment="1">
      <alignment horizontal="center" vertical="center"/>
    </xf>
  </cellXfs>
  <cellStyles count="2">
    <cellStyle name="Normal" xfId="0" builtinId="0"/>
    <cellStyle name="Percent" xfId="1" builtinId="5"/>
  </cellStyles>
  <dxfs count="28">
    <dxf>
      <font>
        <color rgb="FF9C0006"/>
      </font>
      <fill>
        <patternFill>
          <bgColor rgb="FFFFC7CE"/>
        </patternFill>
      </fil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N9" s="11"/>
        <tr r="J9" s="11"/>
        <tr r="F9" s="11"/>
        <tr r="B9" s="11"/>
        <tr r="I3" s="8"/>
        <tr r="I2" s="8"/>
        <tr r="I5" s="8"/>
        <tr r="I4" s="8"/>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9.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8.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volatileDependencies" Target="volatileDependenci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 Final Grade By School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Analysis!$M$2</c:f>
              <c:strCache>
                <c:ptCount val="1"/>
                <c:pt idx="0">
                  <c:v>Avg Grade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2-4BC4-46B5-8016-58D8DF529F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Analysis!$L$3:$L$4</c:f>
              <c:strCache>
                <c:ptCount val="2"/>
                <c:pt idx="0">
                  <c:v>Gabriel Pereira</c:v>
                </c:pt>
                <c:pt idx="1">
                  <c:v>Mousinho da Silveira</c:v>
                </c:pt>
              </c:strCache>
            </c:strRef>
          </c:cat>
          <c:val>
            <c:numRef>
              <c:f>Analysis!$M$3:$M$4</c:f>
              <c:numCache>
                <c:formatCode>0.00</c:formatCode>
                <c:ptCount val="2"/>
                <c:pt idx="0">
                  <c:v>10.25214899713467</c:v>
                </c:pt>
                <c:pt idx="1">
                  <c:v>9.8478260869565215</c:v>
                </c:pt>
              </c:numCache>
            </c:numRef>
          </c:val>
          <c:extLst>
            <c:ext xmlns:c16="http://schemas.microsoft.com/office/drawing/2014/chart" uri="{C3380CC4-5D6E-409C-BE32-E72D297353CC}">
              <c16:uniqueId val="{00000000-4BC4-46B5-8016-58D8DF529FA9}"/>
            </c:ext>
          </c:extLst>
        </c:ser>
        <c:dLbls>
          <c:dLblPos val="outEnd"/>
          <c:showLegendKey val="0"/>
          <c:showVal val="1"/>
          <c:showCatName val="0"/>
          <c:showSerName val="0"/>
          <c:showPercent val="0"/>
          <c:showBubbleSize val="0"/>
        </c:dLbls>
        <c:gapWidth val="182"/>
        <c:axId val="957582832"/>
        <c:axId val="957590992"/>
      </c:barChart>
      <c:catAx>
        <c:axId val="957582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School</a:t>
                </a:r>
                <a:r>
                  <a:rPr lang="en-ID" baseline="0"/>
                  <a:t> Name</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90992"/>
        <c:crosses val="autoZero"/>
        <c:auto val="1"/>
        <c:lblAlgn val="ctr"/>
        <c:lblOffset val="100"/>
        <c:noMultiLvlLbl val="0"/>
      </c:catAx>
      <c:valAx>
        <c:axId val="957590992"/>
        <c:scaling>
          <c:orientation val="minMax"/>
          <c:max val="2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Average</a:t>
                </a:r>
                <a:r>
                  <a:rPr lang="en-ID" baseline="0"/>
                  <a:t> Grade (0-20)</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82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Grade Progress Across Assesment Period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Analysis!$M$23</c:f>
              <c:strCache>
                <c:ptCount val="1"/>
                <c:pt idx="0">
                  <c:v>Average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Analysis!$L$24:$L$26</c:f>
              <c:strCache>
                <c:ptCount val="3"/>
                <c:pt idx="0">
                  <c:v>Grade 1</c:v>
                </c:pt>
                <c:pt idx="1">
                  <c:v>Grade 2</c:v>
                </c:pt>
                <c:pt idx="2">
                  <c:v>Final Grade</c:v>
                </c:pt>
              </c:strCache>
            </c:strRef>
          </c:cat>
          <c:val>
            <c:numRef>
              <c:f>Analysis!$M$24:$M$26</c:f>
              <c:numCache>
                <c:formatCode>0.00</c:formatCode>
                <c:ptCount val="3"/>
                <c:pt idx="0">
                  <c:v>10.924050632911392</c:v>
                </c:pt>
                <c:pt idx="1">
                  <c:v>10.715189873417721</c:v>
                </c:pt>
                <c:pt idx="2">
                  <c:v>10.20506329113924</c:v>
                </c:pt>
              </c:numCache>
            </c:numRef>
          </c:val>
          <c:smooth val="0"/>
          <c:extLst>
            <c:ext xmlns:c16="http://schemas.microsoft.com/office/drawing/2014/chart" uri="{C3380CC4-5D6E-409C-BE32-E72D297353CC}">
              <c16:uniqueId val="{00000000-26A7-4BCB-A448-02BA80ECCCC0}"/>
            </c:ext>
          </c:extLst>
        </c:ser>
        <c:dLbls>
          <c:dLblPos val="t"/>
          <c:showLegendKey val="0"/>
          <c:showVal val="1"/>
          <c:showCatName val="0"/>
          <c:showSerName val="0"/>
          <c:showPercent val="0"/>
          <c:showBubbleSize val="0"/>
        </c:dLbls>
        <c:marker val="1"/>
        <c:smooth val="0"/>
        <c:axId val="1647968128"/>
        <c:axId val="1647978208"/>
      </c:lineChart>
      <c:catAx>
        <c:axId val="16479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78208"/>
        <c:crosses val="autoZero"/>
        <c:auto val="1"/>
        <c:lblAlgn val="ctr"/>
        <c:lblOffset val="100"/>
        <c:noMultiLvlLbl val="0"/>
      </c:catAx>
      <c:valAx>
        <c:axId val="1647978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6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Internet Access Distribution Among 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Analysis!$M$47</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31-46B6-BB12-1C8EDCB641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231-46B6-BB12-1C8EDCB641EA}"/>
              </c:ext>
            </c:extLst>
          </c:dPt>
          <c:dLbls>
            <c:dLbl>
              <c:idx val="0"/>
              <c:layout>
                <c:manualLayout>
                  <c:x val="8.015890201224847E-2"/>
                  <c:y val="-0.2998552785068532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31-46B6-BB12-1C8EDCB641EA}"/>
                </c:ext>
              </c:extLst>
            </c:dLbl>
            <c:dLbl>
              <c:idx val="1"/>
              <c:layout>
                <c:manualLayout>
                  <c:x val="-2.7407917760279964E-2"/>
                  <c:y val="6.268081073199183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31-46B6-BB12-1C8EDCB641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Analysis!$L$48:$L$49</c:f>
              <c:strCache>
                <c:ptCount val="2"/>
                <c:pt idx="0">
                  <c:v>Yes</c:v>
                </c:pt>
                <c:pt idx="1">
                  <c:v>No</c:v>
                </c:pt>
              </c:strCache>
            </c:strRef>
          </c:cat>
          <c:val>
            <c:numRef>
              <c:f>Analysis!$M$48:$M$49</c:f>
              <c:numCache>
                <c:formatCode>0%</c:formatCode>
                <c:ptCount val="2"/>
                <c:pt idx="0">
                  <c:v>0.83080808080808077</c:v>
                </c:pt>
                <c:pt idx="1">
                  <c:v>0.16666666666666666</c:v>
                </c:pt>
              </c:numCache>
            </c:numRef>
          </c:val>
          <c:extLst>
            <c:ext xmlns:c16="http://schemas.microsoft.com/office/drawing/2014/chart" uri="{C3380CC4-5D6E-409C-BE32-E72D297353CC}">
              <c16:uniqueId val="{00000000-2231-46B6-BB12-1C8EDCB641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Absences &amp; Final Grade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Analysis!$M$72</c:f>
              <c:strCache>
                <c:ptCount val="1"/>
                <c:pt idx="0">
                  <c:v>Final Grade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Analysis!$L$73:$L$468</c:f>
              <c:numCache>
                <c:formatCode>General</c:formatCode>
                <c:ptCount val="396"/>
                <c:pt idx="0">
                  <c:v>6</c:v>
                </c:pt>
                <c:pt idx="1">
                  <c:v>4</c:v>
                </c:pt>
                <c:pt idx="2">
                  <c:v>10</c:v>
                </c:pt>
                <c:pt idx="3">
                  <c:v>2</c:v>
                </c:pt>
                <c:pt idx="4">
                  <c:v>4</c:v>
                </c:pt>
                <c:pt idx="5">
                  <c:v>10</c:v>
                </c:pt>
                <c:pt idx="6">
                  <c:v>0</c:v>
                </c:pt>
                <c:pt idx="7">
                  <c:v>6</c:v>
                </c:pt>
                <c:pt idx="8">
                  <c:v>0</c:v>
                </c:pt>
                <c:pt idx="9">
                  <c:v>0</c:v>
                </c:pt>
                <c:pt idx="10">
                  <c:v>0</c:v>
                </c:pt>
                <c:pt idx="11">
                  <c:v>4</c:v>
                </c:pt>
                <c:pt idx="12">
                  <c:v>2</c:v>
                </c:pt>
                <c:pt idx="13">
                  <c:v>2</c:v>
                </c:pt>
                <c:pt idx="14">
                  <c:v>0</c:v>
                </c:pt>
                <c:pt idx="15">
                  <c:v>4</c:v>
                </c:pt>
                <c:pt idx="16">
                  <c:v>6</c:v>
                </c:pt>
                <c:pt idx="17">
                  <c:v>4</c:v>
                </c:pt>
                <c:pt idx="18">
                  <c:v>16</c:v>
                </c:pt>
                <c:pt idx="19">
                  <c:v>4</c:v>
                </c:pt>
                <c:pt idx="20">
                  <c:v>0</c:v>
                </c:pt>
                <c:pt idx="21">
                  <c:v>0</c:v>
                </c:pt>
                <c:pt idx="22">
                  <c:v>2</c:v>
                </c:pt>
                <c:pt idx="23">
                  <c:v>0</c:v>
                </c:pt>
                <c:pt idx="24">
                  <c:v>2</c:v>
                </c:pt>
                <c:pt idx="25">
                  <c:v>14</c:v>
                </c:pt>
                <c:pt idx="26">
                  <c:v>2</c:v>
                </c:pt>
                <c:pt idx="27">
                  <c:v>4</c:v>
                </c:pt>
                <c:pt idx="28">
                  <c:v>4</c:v>
                </c:pt>
                <c:pt idx="29">
                  <c:v>16</c:v>
                </c:pt>
                <c:pt idx="30">
                  <c:v>0</c:v>
                </c:pt>
                <c:pt idx="31">
                  <c:v>0</c:v>
                </c:pt>
                <c:pt idx="32">
                  <c:v>0</c:v>
                </c:pt>
                <c:pt idx="33">
                  <c:v>0</c:v>
                </c:pt>
                <c:pt idx="34">
                  <c:v>0</c:v>
                </c:pt>
                <c:pt idx="35">
                  <c:v>0</c:v>
                </c:pt>
                <c:pt idx="36">
                  <c:v>2</c:v>
                </c:pt>
                <c:pt idx="37">
                  <c:v>7</c:v>
                </c:pt>
                <c:pt idx="38">
                  <c:v>2</c:v>
                </c:pt>
                <c:pt idx="39">
                  <c:v>8</c:v>
                </c:pt>
                <c:pt idx="40">
                  <c:v>25</c:v>
                </c:pt>
                <c:pt idx="41">
                  <c:v>8</c:v>
                </c:pt>
                <c:pt idx="42">
                  <c:v>2</c:v>
                </c:pt>
                <c:pt idx="43">
                  <c:v>0</c:v>
                </c:pt>
                <c:pt idx="44">
                  <c:v>14</c:v>
                </c:pt>
                <c:pt idx="45">
                  <c:v>8</c:v>
                </c:pt>
                <c:pt idx="46">
                  <c:v>12</c:v>
                </c:pt>
                <c:pt idx="47">
                  <c:v>4</c:v>
                </c:pt>
                <c:pt idx="48">
                  <c:v>2</c:v>
                </c:pt>
                <c:pt idx="49">
                  <c:v>2</c:v>
                </c:pt>
                <c:pt idx="50">
                  <c:v>2</c:v>
                </c:pt>
                <c:pt idx="51">
                  <c:v>2</c:v>
                </c:pt>
                <c:pt idx="52">
                  <c:v>6</c:v>
                </c:pt>
                <c:pt idx="53">
                  <c:v>0</c:v>
                </c:pt>
                <c:pt idx="54">
                  <c:v>6</c:v>
                </c:pt>
                <c:pt idx="55">
                  <c:v>8</c:v>
                </c:pt>
                <c:pt idx="56">
                  <c:v>0</c:v>
                </c:pt>
                <c:pt idx="57">
                  <c:v>4</c:v>
                </c:pt>
                <c:pt idx="58">
                  <c:v>2</c:v>
                </c:pt>
                <c:pt idx="59">
                  <c:v>2</c:v>
                </c:pt>
                <c:pt idx="60">
                  <c:v>6</c:v>
                </c:pt>
                <c:pt idx="61">
                  <c:v>6</c:v>
                </c:pt>
                <c:pt idx="62">
                  <c:v>4</c:v>
                </c:pt>
                <c:pt idx="63">
                  <c:v>2</c:v>
                </c:pt>
                <c:pt idx="64">
                  <c:v>0</c:v>
                </c:pt>
                <c:pt idx="65">
                  <c:v>2</c:v>
                </c:pt>
                <c:pt idx="66">
                  <c:v>4</c:v>
                </c:pt>
                <c:pt idx="67">
                  <c:v>4</c:v>
                </c:pt>
                <c:pt idx="68">
                  <c:v>2</c:v>
                </c:pt>
                <c:pt idx="69">
                  <c:v>12</c:v>
                </c:pt>
                <c:pt idx="70">
                  <c:v>0</c:v>
                </c:pt>
                <c:pt idx="71">
                  <c:v>0</c:v>
                </c:pt>
                <c:pt idx="72">
                  <c:v>2</c:v>
                </c:pt>
                <c:pt idx="73">
                  <c:v>2</c:v>
                </c:pt>
                <c:pt idx="74">
                  <c:v>54</c:v>
                </c:pt>
                <c:pt idx="75">
                  <c:v>6</c:v>
                </c:pt>
                <c:pt idx="76">
                  <c:v>8</c:v>
                </c:pt>
                <c:pt idx="77">
                  <c:v>0</c:v>
                </c:pt>
                <c:pt idx="78">
                  <c:v>2</c:v>
                </c:pt>
                <c:pt idx="79">
                  <c:v>12</c:v>
                </c:pt>
                <c:pt idx="80">
                  <c:v>2</c:v>
                </c:pt>
                <c:pt idx="81">
                  <c:v>4</c:v>
                </c:pt>
                <c:pt idx="82">
                  <c:v>10</c:v>
                </c:pt>
                <c:pt idx="83">
                  <c:v>4</c:v>
                </c:pt>
                <c:pt idx="84">
                  <c:v>2</c:v>
                </c:pt>
                <c:pt idx="85">
                  <c:v>6</c:v>
                </c:pt>
                <c:pt idx="86">
                  <c:v>4</c:v>
                </c:pt>
                <c:pt idx="87">
                  <c:v>4</c:v>
                </c:pt>
                <c:pt idx="88">
                  <c:v>12</c:v>
                </c:pt>
                <c:pt idx="89">
                  <c:v>18</c:v>
                </c:pt>
                <c:pt idx="90">
                  <c:v>0</c:v>
                </c:pt>
                <c:pt idx="91">
                  <c:v>4</c:v>
                </c:pt>
                <c:pt idx="92">
                  <c:v>4</c:v>
                </c:pt>
                <c:pt idx="93">
                  <c:v>0</c:v>
                </c:pt>
                <c:pt idx="94">
                  <c:v>6</c:v>
                </c:pt>
                <c:pt idx="95">
                  <c:v>2</c:v>
                </c:pt>
                <c:pt idx="96">
                  <c:v>2</c:v>
                </c:pt>
                <c:pt idx="97">
                  <c:v>2</c:v>
                </c:pt>
                <c:pt idx="98">
                  <c:v>6</c:v>
                </c:pt>
                <c:pt idx="99">
                  <c:v>0</c:v>
                </c:pt>
                <c:pt idx="100">
                  <c:v>14</c:v>
                </c:pt>
                <c:pt idx="101">
                  <c:v>0</c:v>
                </c:pt>
                <c:pt idx="102">
                  <c:v>4</c:v>
                </c:pt>
                <c:pt idx="103">
                  <c:v>26</c:v>
                </c:pt>
                <c:pt idx="104">
                  <c:v>0</c:v>
                </c:pt>
                <c:pt idx="105">
                  <c:v>10</c:v>
                </c:pt>
                <c:pt idx="106">
                  <c:v>8</c:v>
                </c:pt>
                <c:pt idx="107">
                  <c:v>2</c:v>
                </c:pt>
                <c:pt idx="108">
                  <c:v>6</c:v>
                </c:pt>
                <c:pt idx="109">
                  <c:v>4</c:v>
                </c:pt>
                <c:pt idx="110">
                  <c:v>6</c:v>
                </c:pt>
                <c:pt idx="111">
                  <c:v>0</c:v>
                </c:pt>
                <c:pt idx="112">
                  <c:v>6</c:v>
                </c:pt>
                <c:pt idx="113">
                  <c:v>10</c:v>
                </c:pt>
                <c:pt idx="114">
                  <c:v>8</c:v>
                </c:pt>
                <c:pt idx="115">
                  <c:v>2</c:v>
                </c:pt>
                <c:pt idx="116">
                  <c:v>2</c:v>
                </c:pt>
                <c:pt idx="117">
                  <c:v>0</c:v>
                </c:pt>
                <c:pt idx="118">
                  <c:v>20</c:v>
                </c:pt>
                <c:pt idx="119">
                  <c:v>6</c:v>
                </c:pt>
                <c:pt idx="120">
                  <c:v>2</c:v>
                </c:pt>
                <c:pt idx="121">
                  <c:v>6</c:v>
                </c:pt>
                <c:pt idx="122">
                  <c:v>2</c:v>
                </c:pt>
                <c:pt idx="123">
                  <c:v>18</c:v>
                </c:pt>
                <c:pt idx="124">
                  <c:v>0</c:v>
                </c:pt>
                <c:pt idx="125">
                  <c:v>0</c:v>
                </c:pt>
                <c:pt idx="126">
                  <c:v>0</c:v>
                </c:pt>
                <c:pt idx="127">
                  <c:v>2</c:v>
                </c:pt>
                <c:pt idx="128">
                  <c:v>0</c:v>
                </c:pt>
                <c:pt idx="129">
                  <c:v>8</c:v>
                </c:pt>
                <c:pt idx="130">
                  <c:v>0</c:v>
                </c:pt>
                <c:pt idx="131">
                  <c:v>0</c:v>
                </c:pt>
                <c:pt idx="132">
                  <c:v>12</c:v>
                </c:pt>
                <c:pt idx="133">
                  <c:v>16</c:v>
                </c:pt>
                <c:pt idx="134">
                  <c:v>0</c:v>
                </c:pt>
                <c:pt idx="135">
                  <c:v>0</c:v>
                </c:pt>
                <c:pt idx="136">
                  <c:v>0</c:v>
                </c:pt>
                <c:pt idx="137">
                  <c:v>0</c:v>
                </c:pt>
                <c:pt idx="138">
                  <c:v>0</c:v>
                </c:pt>
                <c:pt idx="139">
                  <c:v>0</c:v>
                </c:pt>
                <c:pt idx="140">
                  <c:v>0</c:v>
                </c:pt>
                <c:pt idx="141">
                  <c:v>8</c:v>
                </c:pt>
                <c:pt idx="142">
                  <c:v>2</c:v>
                </c:pt>
                <c:pt idx="143">
                  <c:v>2</c:v>
                </c:pt>
                <c:pt idx="144">
                  <c:v>0</c:v>
                </c:pt>
                <c:pt idx="145">
                  <c:v>0</c:v>
                </c:pt>
                <c:pt idx="146">
                  <c:v>0</c:v>
                </c:pt>
                <c:pt idx="147">
                  <c:v>2</c:v>
                </c:pt>
                <c:pt idx="148">
                  <c:v>0</c:v>
                </c:pt>
                <c:pt idx="149">
                  <c:v>0</c:v>
                </c:pt>
                <c:pt idx="150">
                  <c:v>0</c:v>
                </c:pt>
                <c:pt idx="151">
                  <c:v>6</c:v>
                </c:pt>
                <c:pt idx="152">
                  <c:v>8</c:v>
                </c:pt>
                <c:pt idx="153">
                  <c:v>0</c:v>
                </c:pt>
                <c:pt idx="154">
                  <c:v>0</c:v>
                </c:pt>
                <c:pt idx="155">
                  <c:v>2</c:v>
                </c:pt>
                <c:pt idx="156">
                  <c:v>8</c:v>
                </c:pt>
                <c:pt idx="157">
                  <c:v>6</c:v>
                </c:pt>
                <c:pt idx="158">
                  <c:v>2</c:v>
                </c:pt>
                <c:pt idx="159">
                  <c:v>4</c:v>
                </c:pt>
                <c:pt idx="160">
                  <c:v>0</c:v>
                </c:pt>
                <c:pt idx="161">
                  <c:v>6</c:v>
                </c:pt>
                <c:pt idx="162">
                  <c:v>0</c:v>
                </c:pt>
                <c:pt idx="163">
                  <c:v>2</c:v>
                </c:pt>
                <c:pt idx="164">
                  <c:v>0</c:v>
                </c:pt>
                <c:pt idx="165">
                  <c:v>16</c:v>
                </c:pt>
                <c:pt idx="166">
                  <c:v>4</c:v>
                </c:pt>
                <c:pt idx="167">
                  <c:v>0</c:v>
                </c:pt>
                <c:pt idx="168">
                  <c:v>0</c:v>
                </c:pt>
                <c:pt idx="169">
                  <c:v>0</c:v>
                </c:pt>
                <c:pt idx="170">
                  <c:v>0</c:v>
                </c:pt>
                <c:pt idx="171">
                  <c:v>2</c:v>
                </c:pt>
                <c:pt idx="172">
                  <c:v>0</c:v>
                </c:pt>
                <c:pt idx="173">
                  <c:v>0</c:v>
                </c:pt>
                <c:pt idx="174">
                  <c:v>4</c:v>
                </c:pt>
                <c:pt idx="175">
                  <c:v>4</c:v>
                </c:pt>
                <c:pt idx="176">
                  <c:v>2</c:v>
                </c:pt>
                <c:pt idx="177">
                  <c:v>4</c:v>
                </c:pt>
                <c:pt idx="178">
                  <c:v>10</c:v>
                </c:pt>
                <c:pt idx="179">
                  <c:v>4</c:v>
                </c:pt>
                <c:pt idx="180">
                  <c:v>10</c:v>
                </c:pt>
                <c:pt idx="181">
                  <c:v>2</c:v>
                </c:pt>
                <c:pt idx="182">
                  <c:v>0</c:v>
                </c:pt>
                <c:pt idx="183">
                  <c:v>56</c:v>
                </c:pt>
                <c:pt idx="184">
                  <c:v>14</c:v>
                </c:pt>
                <c:pt idx="185">
                  <c:v>12</c:v>
                </c:pt>
                <c:pt idx="186">
                  <c:v>2</c:v>
                </c:pt>
                <c:pt idx="187">
                  <c:v>0</c:v>
                </c:pt>
                <c:pt idx="188">
                  <c:v>6</c:v>
                </c:pt>
                <c:pt idx="189">
                  <c:v>4</c:v>
                </c:pt>
                <c:pt idx="190">
                  <c:v>10</c:v>
                </c:pt>
                <c:pt idx="191">
                  <c:v>0</c:v>
                </c:pt>
                <c:pt idx="192">
                  <c:v>12</c:v>
                </c:pt>
                <c:pt idx="193">
                  <c:v>8</c:v>
                </c:pt>
                <c:pt idx="194">
                  <c:v>0</c:v>
                </c:pt>
                <c:pt idx="195">
                  <c:v>0</c:v>
                </c:pt>
                <c:pt idx="196">
                  <c:v>4</c:v>
                </c:pt>
                <c:pt idx="197">
                  <c:v>8</c:v>
                </c:pt>
                <c:pt idx="198">
                  <c:v>24</c:v>
                </c:pt>
                <c:pt idx="199">
                  <c:v>0</c:v>
                </c:pt>
                <c:pt idx="200">
                  <c:v>2</c:v>
                </c:pt>
                <c:pt idx="201">
                  <c:v>6</c:v>
                </c:pt>
                <c:pt idx="202">
                  <c:v>4</c:v>
                </c:pt>
                <c:pt idx="203">
                  <c:v>18</c:v>
                </c:pt>
                <c:pt idx="204">
                  <c:v>6</c:v>
                </c:pt>
                <c:pt idx="205">
                  <c:v>28</c:v>
                </c:pt>
                <c:pt idx="206">
                  <c:v>5</c:v>
                </c:pt>
                <c:pt idx="207">
                  <c:v>10</c:v>
                </c:pt>
                <c:pt idx="208">
                  <c:v>6</c:v>
                </c:pt>
                <c:pt idx="209">
                  <c:v>6</c:v>
                </c:pt>
                <c:pt idx="210">
                  <c:v>10</c:v>
                </c:pt>
                <c:pt idx="211">
                  <c:v>13</c:v>
                </c:pt>
                <c:pt idx="212">
                  <c:v>0</c:v>
                </c:pt>
                <c:pt idx="213">
                  <c:v>15</c:v>
                </c:pt>
                <c:pt idx="214">
                  <c:v>12</c:v>
                </c:pt>
                <c:pt idx="215">
                  <c:v>2</c:v>
                </c:pt>
                <c:pt idx="216">
                  <c:v>0</c:v>
                </c:pt>
                <c:pt idx="217">
                  <c:v>13</c:v>
                </c:pt>
                <c:pt idx="218">
                  <c:v>3</c:v>
                </c:pt>
                <c:pt idx="219">
                  <c:v>4</c:v>
                </c:pt>
                <c:pt idx="220">
                  <c:v>2</c:v>
                </c:pt>
                <c:pt idx="221">
                  <c:v>0</c:v>
                </c:pt>
                <c:pt idx="222">
                  <c:v>2</c:v>
                </c:pt>
                <c:pt idx="223">
                  <c:v>0</c:v>
                </c:pt>
                <c:pt idx="224">
                  <c:v>0</c:v>
                </c:pt>
                <c:pt idx="225">
                  <c:v>16</c:v>
                </c:pt>
                <c:pt idx="226">
                  <c:v>10</c:v>
                </c:pt>
                <c:pt idx="227">
                  <c:v>2</c:v>
                </c:pt>
                <c:pt idx="228">
                  <c:v>14</c:v>
                </c:pt>
                <c:pt idx="229">
                  <c:v>10</c:v>
                </c:pt>
                <c:pt idx="230">
                  <c:v>14</c:v>
                </c:pt>
                <c:pt idx="231">
                  <c:v>4</c:v>
                </c:pt>
                <c:pt idx="232">
                  <c:v>14</c:v>
                </c:pt>
                <c:pt idx="233">
                  <c:v>2</c:v>
                </c:pt>
                <c:pt idx="234">
                  <c:v>18</c:v>
                </c:pt>
                <c:pt idx="235">
                  <c:v>10</c:v>
                </c:pt>
                <c:pt idx="236">
                  <c:v>4</c:v>
                </c:pt>
                <c:pt idx="237">
                  <c:v>20</c:v>
                </c:pt>
                <c:pt idx="238">
                  <c:v>2</c:v>
                </c:pt>
                <c:pt idx="239">
                  <c:v>0</c:v>
                </c:pt>
                <c:pt idx="240">
                  <c:v>14</c:v>
                </c:pt>
                <c:pt idx="241">
                  <c:v>2</c:v>
                </c:pt>
                <c:pt idx="242">
                  <c:v>0</c:v>
                </c:pt>
                <c:pt idx="243">
                  <c:v>0</c:v>
                </c:pt>
                <c:pt idx="244">
                  <c:v>0</c:v>
                </c:pt>
                <c:pt idx="245">
                  <c:v>6</c:v>
                </c:pt>
                <c:pt idx="246">
                  <c:v>4</c:v>
                </c:pt>
                <c:pt idx="247">
                  <c:v>16</c:v>
                </c:pt>
                <c:pt idx="248">
                  <c:v>8</c:v>
                </c:pt>
                <c:pt idx="249">
                  <c:v>0</c:v>
                </c:pt>
                <c:pt idx="250">
                  <c:v>0</c:v>
                </c:pt>
                <c:pt idx="251">
                  <c:v>6</c:v>
                </c:pt>
                <c:pt idx="252">
                  <c:v>4</c:v>
                </c:pt>
                <c:pt idx="253">
                  <c:v>0</c:v>
                </c:pt>
                <c:pt idx="254">
                  <c:v>0</c:v>
                </c:pt>
                <c:pt idx="255">
                  <c:v>2</c:v>
                </c:pt>
                <c:pt idx="256">
                  <c:v>6</c:v>
                </c:pt>
                <c:pt idx="257">
                  <c:v>12</c:v>
                </c:pt>
                <c:pt idx="258">
                  <c:v>8</c:v>
                </c:pt>
                <c:pt idx="259">
                  <c:v>0</c:v>
                </c:pt>
                <c:pt idx="260">
                  <c:v>21</c:v>
                </c:pt>
                <c:pt idx="261">
                  <c:v>2</c:v>
                </c:pt>
                <c:pt idx="262">
                  <c:v>1</c:v>
                </c:pt>
                <c:pt idx="263">
                  <c:v>4</c:v>
                </c:pt>
                <c:pt idx="264">
                  <c:v>0</c:v>
                </c:pt>
                <c:pt idx="265">
                  <c:v>13</c:v>
                </c:pt>
                <c:pt idx="266">
                  <c:v>2</c:v>
                </c:pt>
                <c:pt idx="267">
                  <c:v>8</c:v>
                </c:pt>
                <c:pt idx="268">
                  <c:v>10</c:v>
                </c:pt>
                <c:pt idx="269">
                  <c:v>0</c:v>
                </c:pt>
                <c:pt idx="270">
                  <c:v>15</c:v>
                </c:pt>
                <c:pt idx="271">
                  <c:v>4</c:v>
                </c:pt>
                <c:pt idx="272">
                  <c:v>2</c:v>
                </c:pt>
                <c:pt idx="273">
                  <c:v>2</c:v>
                </c:pt>
                <c:pt idx="274">
                  <c:v>2</c:v>
                </c:pt>
                <c:pt idx="275">
                  <c:v>0</c:v>
                </c:pt>
                <c:pt idx="276">
                  <c:v>75</c:v>
                </c:pt>
                <c:pt idx="277">
                  <c:v>22</c:v>
                </c:pt>
                <c:pt idx="278">
                  <c:v>15</c:v>
                </c:pt>
                <c:pt idx="279">
                  <c:v>8</c:v>
                </c:pt>
                <c:pt idx="280">
                  <c:v>30</c:v>
                </c:pt>
                <c:pt idx="281">
                  <c:v>19</c:v>
                </c:pt>
                <c:pt idx="282">
                  <c:v>1</c:v>
                </c:pt>
                <c:pt idx="283">
                  <c:v>4</c:v>
                </c:pt>
                <c:pt idx="284">
                  <c:v>4</c:v>
                </c:pt>
                <c:pt idx="285">
                  <c:v>2</c:v>
                </c:pt>
                <c:pt idx="286">
                  <c:v>5</c:v>
                </c:pt>
                <c:pt idx="287">
                  <c:v>0</c:v>
                </c:pt>
                <c:pt idx="288">
                  <c:v>6</c:v>
                </c:pt>
                <c:pt idx="289">
                  <c:v>9</c:v>
                </c:pt>
                <c:pt idx="290">
                  <c:v>11</c:v>
                </c:pt>
                <c:pt idx="291">
                  <c:v>0</c:v>
                </c:pt>
                <c:pt idx="292">
                  <c:v>12</c:v>
                </c:pt>
                <c:pt idx="293">
                  <c:v>6</c:v>
                </c:pt>
                <c:pt idx="294">
                  <c:v>8</c:v>
                </c:pt>
                <c:pt idx="295">
                  <c:v>4</c:v>
                </c:pt>
                <c:pt idx="296">
                  <c:v>0</c:v>
                </c:pt>
                <c:pt idx="297">
                  <c:v>10</c:v>
                </c:pt>
                <c:pt idx="298">
                  <c:v>0</c:v>
                </c:pt>
                <c:pt idx="299">
                  <c:v>5</c:v>
                </c:pt>
                <c:pt idx="300">
                  <c:v>14</c:v>
                </c:pt>
                <c:pt idx="301">
                  <c:v>0</c:v>
                </c:pt>
                <c:pt idx="302">
                  <c:v>0</c:v>
                </c:pt>
                <c:pt idx="303">
                  <c:v>0</c:v>
                </c:pt>
                <c:pt idx="304">
                  <c:v>20</c:v>
                </c:pt>
                <c:pt idx="305">
                  <c:v>8</c:v>
                </c:pt>
                <c:pt idx="306">
                  <c:v>0</c:v>
                </c:pt>
                <c:pt idx="307">
                  <c:v>38</c:v>
                </c:pt>
                <c:pt idx="308">
                  <c:v>0</c:v>
                </c:pt>
                <c:pt idx="309">
                  <c:v>18</c:v>
                </c:pt>
                <c:pt idx="310">
                  <c:v>0</c:v>
                </c:pt>
                <c:pt idx="311">
                  <c:v>20</c:v>
                </c:pt>
                <c:pt idx="312">
                  <c:v>3</c:v>
                </c:pt>
                <c:pt idx="313">
                  <c:v>22</c:v>
                </c:pt>
                <c:pt idx="314">
                  <c:v>14</c:v>
                </c:pt>
                <c:pt idx="315">
                  <c:v>40</c:v>
                </c:pt>
                <c:pt idx="316">
                  <c:v>0</c:v>
                </c:pt>
                <c:pt idx="317">
                  <c:v>9</c:v>
                </c:pt>
                <c:pt idx="318">
                  <c:v>0</c:v>
                </c:pt>
                <c:pt idx="319">
                  <c:v>2</c:v>
                </c:pt>
                <c:pt idx="320">
                  <c:v>23</c:v>
                </c:pt>
                <c:pt idx="321">
                  <c:v>12</c:v>
                </c:pt>
                <c:pt idx="322">
                  <c:v>3</c:v>
                </c:pt>
                <c:pt idx="323">
                  <c:v>1</c:v>
                </c:pt>
                <c:pt idx="324">
                  <c:v>0</c:v>
                </c:pt>
                <c:pt idx="325">
                  <c:v>3</c:v>
                </c:pt>
                <c:pt idx="326">
                  <c:v>3</c:v>
                </c:pt>
                <c:pt idx="327">
                  <c:v>8</c:v>
                </c:pt>
                <c:pt idx="328">
                  <c:v>7</c:v>
                </c:pt>
                <c:pt idx="329">
                  <c:v>4</c:v>
                </c:pt>
                <c:pt idx="330">
                  <c:v>2</c:v>
                </c:pt>
                <c:pt idx="331">
                  <c:v>7</c:v>
                </c:pt>
                <c:pt idx="332">
                  <c:v>0</c:v>
                </c:pt>
                <c:pt idx="333">
                  <c:v>0</c:v>
                </c:pt>
                <c:pt idx="334">
                  <c:v>0</c:v>
                </c:pt>
                <c:pt idx="335">
                  <c:v>16</c:v>
                </c:pt>
                <c:pt idx="336">
                  <c:v>12</c:v>
                </c:pt>
                <c:pt idx="337">
                  <c:v>0</c:v>
                </c:pt>
                <c:pt idx="338">
                  <c:v>7</c:v>
                </c:pt>
                <c:pt idx="339">
                  <c:v>4</c:v>
                </c:pt>
                <c:pt idx="340">
                  <c:v>4</c:v>
                </c:pt>
                <c:pt idx="341">
                  <c:v>0</c:v>
                </c:pt>
                <c:pt idx="342">
                  <c:v>11</c:v>
                </c:pt>
                <c:pt idx="343">
                  <c:v>0</c:v>
                </c:pt>
                <c:pt idx="344">
                  <c:v>4</c:v>
                </c:pt>
                <c:pt idx="345">
                  <c:v>7</c:v>
                </c:pt>
                <c:pt idx="346">
                  <c:v>9</c:v>
                </c:pt>
                <c:pt idx="347">
                  <c:v>0</c:v>
                </c:pt>
                <c:pt idx="348">
                  <c:v>0</c:v>
                </c:pt>
                <c:pt idx="349">
                  <c:v>10</c:v>
                </c:pt>
                <c:pt idx="350">
                  <c:v>8</c:v>
                </c:pt>
                <c:pt idx="351">
                  <c:v>2</c:v>
                </c:pt>
                <c:pt idx="352">
                  <c:v>7</c:v>
                </c:pt>
                <c:pt idx="353">
                  <c:v>4</c:v>
                </c:pt>
                <c:pt idx="354">
                  <c:v>4</c:v>
                </c:pt>
                <c:pt idx="355">
                  <c:v>0</c:v>
                </c:pt>
                <c:pt idx="356">
                  <c:v>4</c:v>
                </c:pt>
                <c:pt idx="357">
                  <c:v>2</c:v>
                </c:pt>
                <c:pt idx="358">
                  <c:v>4</c:v>
                </c:pt>
                <c:pt idx="359">
                  <c:v>0</c:v>
                </c:pt>
                <c:pt idx="360">
                  <c:v>0</c:v>
                </c:pt>
                <c:pt idx="361">
                  <c:v>2</c:v>
                </c:pt>
                <c:pt idx="362">
                  <c:v>0</c:v>
                </c:pt>
                <c:pt idx="363">
                  <c:v>0</c:v>
                </c:pt>
                <c:pt idx="364">
                  <c:v>0</c:v>
                </c:pt>
                <c:pt idx="365">
                  <c:v>4</c:v>
                </c:pt>
                <c:pt idx="366">
                  <c:v>0</c:v>
                </c:pt>
                <c:pt idx="367">
                  <c:v>0</c:v>
                </c:pt>
                <c:pt idx="368">
                  <c:v>0</c:v>
                </c:pt>
                <c:pt idx="369">
                  <c:v>10</c:v>
                </c:pt>
                <c:pt idx="370">
                  <c:v>4</c:v>
                </c:pt>
                <c:pt idx="371">
                  <c:v>3</c:v>
                </c:pt>
                <c:pt idx="372">
                  <c:v>8</c:v>
                </c:pt>
                <c:pt idx="373">
                  <c:v>14</c:v>
                </c:pt>
                <c:pt idx="374">
                  <c:v>0</c:v>
                </c:pt>
                <c:pt idx="375">
                  <c:v>2</c:v>
                </c:pt>
                <c:pt idx="376">
                  <c:v>4</c:v>
                </c:pt>
                <c:pt idx="377">
                  <c:v>4</c:v>
                </c:pt>
                <c:pt idx="378">
                  <c:v>0</c:v>
                </c:pt>
                <c:pt idx="379">
                  <c:v>17</c:v>
                </c:pt>
                <c:pt idx="380">
                  <c:v>4</c:v>
                </c:pt>
                <c:pt idx="381">
                  <c:v>0</c:v>
                </c:pt>
                <c:pt idx="382">
                  <c:v>0</c:v>
                </c:pt>
                <c:pt idx="383">
                  <c:v>0</c:v>
                </c:pt>
                <c:pt idx="384">
                  <c:v>14</c:v>
                </c:pt>
                <c:pt idx="385">
                  <c:v>2</c:v>
                </c:pt>
                <c:pt idx="386">
                  <c:v>7</c:v>
                </c:pt>
                <c:pt idx="387">
                  <c:v>0</c:v>
                </c:pt>
                <c:pt idx="388">
                  <c:v>0</c:v>
                </c:pt>
                <c:pt idx="389">
                  <c:v>0</c:v>
                </c:pt>
                <c:pt idx="390">
                  <c:v>11</c:v>
                </c:pt>
                <c:pt idx="391">
                  <c:v>3</c:v>
                </c:pt>
                <c:pt idx="392">
                  <c:v>3</c:v>
                </c:pt>
                <c:pt idx="393">
                  <c:v>0</c:v>
                </c:pt>
                <c:pt idx="394">
                  <c:v>5</c:v>
                </c:pt>
              </c:numCache>
            </c:numRef>
          </c:xVal>
          <c:yVal>
            <c:numRef>
              <c:f>Analysis!$M$73:$M$468</c:f>
              <c:numCache>
                <c:formatCode>General</c:formatCode>
                <c:ptCount val="396"/>
                <c:pt idx="0">
                  <c:v>6</c:v>
                </c:pt>
                <c:pt idx="1">
                  <c:v>5</c:v>
                </c:pt>
                <c:pt idx="2">
                  <c:v>10</c:v>
                </c:pt>
                <c:pt idx="3">
                  <c:v>15</c:v>
                </c:pt>
                <c:pt idx="4">
                  <c:v>10</c:v>
                </c:pt>
                <c:pt idx="5">
                  <c:v>15</c:v>
                </c:pt>
                <c:pt idx="6">
                  <c:v>11</c:v>
                </c:pt>
                <c:pt idx="7">
                  <c:v>6</c:v>
                </c:pt>
                <c:pt idx="8">
                  <c:v>19</c:v>
                </c:pt>
                <c:pt idx="9">
                  <c:v>15</c:v>
                </c:pt>
                <c:pt idx="10">
                  <c:v>9</c:v>
                </c:pt>
                <c:pt idx="11">
                  <c:v>12</c:v>
                </c:pt>
                <c:pt idx="12">
                  <c:v>14</c:v>
                </c:pt>
                <c:pt idx="13">
                  <c:v>11</c:v>
                </c:pt>
                <c:pt idx="14">
                  <c:v>16</c:v>
                </c:pt>
                <c:pt idx="15">
                  <c:v>14</c:v>
                </c:pt>
                <c:pt idx="16">
                  <c:v>14</c:v>
                </c:pt>
                <c:pt idx="17">
                  <c:v>10</c:v>
                </c:pt>
                <c:pt idx="18">
                  <c:v>5</c:v>
                </c:pt>
                <c:pt idx="19">
                  <c:v>10</c:v>
                </c:pt>
                <c:pt idx="20">
                  <c:v>15</c:v>
                </c:pt>
                <c:pt idx="21">
                  <c:v>15</c:v>
                </c:pt>
                <c:pt idx="22">
                  <c:v>16</c:v>
                </c:pt>
                <c:pt idx="23">
                  <c:v>12</c:v>
                </c:pt>
                <c:pt idx="24">
                  <c:v>8</c:v>
                </c:pt>
                <c:pt idx="25">
                  <c:v>8</c:v>
                </c:pt>
                <c:pt idx="26">
                  <c:v>11</c:v>
                </c:pt>
                <c:pt idx="27">
                  <c:v>15</c:v>
                </c:pt>
                <c:pt idx="28">
                  <c:v>11</c:v>
                </c:pt>
                <c:pt idx="29">
                  <c:v>11</c:v>
                </c:pt>
                <c:pt idx="30">
                  <c:v>12</c:v>
                </c:pt>
                <c:pt idx="31">
                  <c:v>17</c:v>
                </c:pt>
                <c:pt idx="32">
                  <c:v>0</c:v>
                </c:pt>
                <c:pt idx="33">
                  <c:v>12</c:v>
                </c:pt>
                <c:pt idx="34">
                  <c:v>15</c:v>
                </c:pt>
                <c:pt idx="35">
                  <c:v>6</c:v>
                </c:pt>
                <c:pt idx="36">
                  <c:v>18</c:v>
                </c:pt>
                <c:pt idx="37">
                  <c:v>15</c:v>
                </c:pt>
                <c:pt idx="38">
                  <c:v>11</c:v>
                </c:pt>
                <c:pt idx="39">
                  <c:v>13</c:v>
                </c:pt>
                <c:pt idx="40">
                  <c:v>11</c:v>
                </c:pt>
                <c:pt idx="41">
                  <c:v>12</c:v>
                </c:pt>
                <c:pt idx="42">
                  <c:v>18</c:v>
                </c:pt>
                <c:pt idx="43">
                  <c:v>11</c:v>
                </c:pt>
                <c:pt idx="44">
                  <c:v>9</c:v>
                </c:pt>
                <c:pt idx="45">
                  <c:v>6</c:v>
                </c:pt>
                <c:pt idx="46">
                  <c:v>11</c:v>
                </c:pt>
                <c:pt idx="47">
                  <c:v>20</c:v>
                </c:pt>
                <c:pt idx="48">
                  <c:v>14</c:v>
                </c:pt>
                <c:pt idx="49">
                  <c:v>7</c:v>
                </c:pt>
                <c:pt idx="50">
                  <c:v>13</c:v>
                </c:pt>
                <c:pt idx="51">
                  <c:v>13</c:v>
                </c:pt>
                <c:pt idx="52">
                  <c:v>10</c:v>
                </c:pt>
                <c:pt idx="53">
                  <c:v>11</c:v>
                </c:pt>
                <c:pt idx="54">
                  <c:v>13</c:v>
                </c:pt>
                <c:pt idx="55">
                  <c:v>10</c:v>
                </c:pt>
                <c:pt idx="56">
                  <c:v>15</c:v>
                </c:pt>
                <c:pt idx="57">
                  <c:v>15</c:v>
                </c:pt>
                <c:pt idx="58">
                  <c:v>9</c:v>
                </c:pt>
                <c:pt idx="59">
                  <c:v>16</c:v>
                </c:pt>
                <c:pt idx="60">
                  <c:v>11</c:v>
                </c:pt>
                <c:pt idx="61">
                  <c:v>11</c:v>
                </c:pt>
                <c:pt idx="62">
                  <c:v>9</c:v>
                </c:pt>
                <c:pt idx="63">
                  <c:v>9</c:v>
                </c:pt>
                <c:pt idx="64">
                  <c:v>10</c:v>
                </c:pt>
                <c:pt idx="65">
                  <c:v>15</c:v>
                </c:pt>
                <c:pt idx="66">
                  <c:v>12</c:v>
                </c:pt>
                <c:pt idx="67">
                  <c:v>6</c:v>
                </c:pt>
                <c:pt idx="68">
                  <c:v>8</c:v>
                </c:pt>
                <c:pt idx="69">
                  <c:v>16</c:v>
                </c:pt>
                <c:pt idx="70">
                  <c:v>15</c:v>
                </c:pt>
                <c:pt idx="71">
                  <c:v>10</c:v>
                </c:pt>
                <c:pt idx="72">
                  <c:v>5</c:v>
                </c:pt>
                <c:pt idx="73">
                  <c:v>14</c:v>
                </c:pt>
                <c:pt idx="74">
                  <c:v>11</c:v>
                </c:pt>
                <c:pt idx="75">
                  <c:v>10</c:v>
                </c:pt>
                <c:pt idx="76">
                  <c:v>10</c:v>
                </c:pt>
                <c:pt idx="77">
                  <c:v>11</c:v>
                </c:pt>
                <c:pt idx="78">
                  <c:v>10</c:v>
                </c:pt>
                <c:pt idx="79">
                  <c:v>5</c:v>
                </c:pt>
                <c:pt idx="80">
                  <c:v>12</c:v>
                </c:pt>
                <c:pt idx="81">
                  <c:v>11</c:v>
                </c:pt>
                <c:pt idx="82">
                  <c:v>6</c:v>
                </c:pt>
                <c:pt idx="83">
                  <c:v>15</c:v>
                </c:pt>
                <c:pt idx="84">
                  <c:v>9.5</c:v>
                </c:pt>
                <c:pt idx="85">
                  <c:v>8</c:v>
                </c:pt>
                <c:pt idx="86">
                  <c:v>6</c:v>
                </c:pt>
                <c:pt idx="87">
                  <c:v>14</c:v>
                </c:pt>
                <c:pt idx="88">
                  <c:v>10</c:v>
                </c:pt>
                <c:pt idx="89">
                  <c:v>7</c:v>
                </c:pt>
                <c:pt idx="90">
                  <c:v>8</c:v>
                </c:pt>
                <c:pt idx="91">
                  <c:v>18</c:v>
                </c:pt>
                <c:pt idx="92">
                  <c:v>6</c:v>
                </c:pt>
                <c:pt idx="93">
                  <c:v>10</c:v>
                </c:pt>
                <c:pt idx="94">
                  <c:v>14</c:v>
                </c:pt>
                <c:pt idx="95">
                  <c:v>10</c:v>
                </c:pt>
                <c:pt idx="96">
                  <c:v>15</c:v>
                </c:pt>
                <c:pt idx="97">
                  <c:v>10</c:v>
                </c:pt>
                <c:pt idx="98">
                  <c:v>14</c:v>
                </c:pt>
                <c:pt idx="99">
                  <c:v>8</c:v>
                </c:pt>
                <c:pt idx="100">
                  <c:v>5</c:v>
                </c:pt>
                <c:pt idx="101">
                  <c:v>17</c:v>
                </c:pt>
                <c:pt idx="102">
                  <c:v>14</c:v>
                </c:pt>
                <c:pt idx="103">
                  <c:v>6</c:v>
                </c:pt>
                <c:pt idx="104">
                  <c:v>18</c:v>
                </c:pt>
                <c:pt idx="105">
                  <c:v>11</c:v>
                </c:pt>
                <c:pt idx="106">
                  <c:v>8</c:v>
                </c:pt>
                <c:pt idx="107">
                  <c:v>18</c:v>
                </c:pt>
                <c:pt idx="108">
                  <c:v>13</c:v>
                </c:pt>
                <c:pt idx="109">
                  <c:v>16</c:v>
                </c:pt>
                <c:pt idx="110">
                  <c:v>19</c:v>
                </c:pt>
                <c:pt idx="111">
                  <c:v>10</c:v>
                </c:pt>
                <c:pt idx="112">
                  <c:v>13</c:v>
                </c:pt>
                <c:pt idx="113">
                  <c:v>19</c:v>
                </c:pt>
                <c:pt idx="114">
                  <c:v>9</c:v>
                </c:pt>
                <c:pt idx="115">
                  <c:v>16</c:v>
                </c:pt>
                <c:pt idx="116">
                  <c:v>14</c:v>
                </c:pt>
                <c:pt idx="117">
                  <c:v>13</c:v>
                </c:pt>
                <c:pt idx="118">
                  <c:v>8</c:v>
                </c:pt>
                <c:pt idx="119">
                  <c:v>13</c:v>
                </c:pt>
                <c:pt idx="120">
                  <c:v>15</c:v>
                </c:pt>
                <c:pt idx="121">
                  <c:v>15</c:v>
                </c:pt>
                <c:pt idx="122">
                  <c:v>13</c:v>
                </c:pt>
                <c:pt idx="123">
                  <c:v>13</c:v>
                </c:pt>
                <c:pt idx="124">
                  <c:v>8</c:v>
                </c:pt>
                <c:pt idx="125">
                  <c:v>12</c:v>
                </c:pt>
                <c:pt idx="126">
                  <c:v>11</c:v>
                </c:pt>
                <c:pt idx="127">
                  <c:v>9</c:v>
                </c:pt>
                <c:pt idx="128">
                  <c:v>0</c:v>
                </c:pt>
                <c:pt idx="129">
                  <c:v>18</c:v>
                </c:pt>
                <c:pt idx="130">
                  <c:v>0</c:v>
                </c:pt>
                <c:pt idx="131">
                  <c:v>0</c:v>
                </c:pt>
                <c:pt idx="132">
                  <c:v>12</c:v>
                </c:pt>
                <c:pt idx="133">
                  <c:v>11</c:v>
                </c:pt>
                <c:pt idx="134">
                  <c:v>0</c:v>
                </c:pt>
                <c:pt idx="135">
                  <c:v>0</c:v>
                </c:pt>
                <c:pt idx="136">
                  <c:v>0</c:v>
                </c:pt>
                <c:pt idx="137">
                  <c:v>0</c:v>
                </c:pt>
                <c:pt idx="138">
                  <c:v>12</c:v>
                </c:pt>
                <c:pt idx="139">
                  <c:v>15</c:v>
                </c:pt>
                <c:pt idx="140">
                  <c:v>0</c:v>
                </c:pt>
                <c:pt idx="141">
                  <c:v>9</c:v>
                </c:pt>
                <c:pt idx="142">
                  <c:v>11</c:v>
                </c:pt>
                <c:pt idx="143">
                  <c:v>13</c:v>
                </c:pt>
                <c:pt idx="144">
                  <c:v>0</c:v>
                </c:pt>
                <c:pt idx="145">
                  <c:v>11</c:v>
                </c:pt>
                <c:pt idx="146">
                  <c:v>0</c:v>
                </c:pt>
                <c:pt idx="147">
                  <c:v>11</c:v>
                </c:pt>
                <c:pt idx="148">
                  <c:v>0</c:v>
                </c:pt>
                <c:pt idx="149">
                  <c:v>10</c:v>
                </c:pt>
                <c:pt idx="150">
                  <c:v>0</c:v>
                </c:pt>
                <c:pt idx="151">
                  <c:v>14</c:v>
                </c:pt>
                <c:pt idx="152">
                  <c:v>10</c:v>
                </c:pt>
                <c:pt idx="153">
                  <c:v>0</c:v>
                </c:pt>
                <c:pt idx="154">
                  <c:v>12</c:v>
                </c:pt>
                <c:pt idx="155">
                  <c:v>8</c:v>
                </c:pt>
                <c:pt idx="156">
                  <c:v>13</c:v>
                </c:pt>
                <c:pt idx="157">
                  <c:v>10</c:v>
                </c:pt>
                <c:pt idx="158">
                  <c:v>15</c:v>
                </c:pt>
                <c:pt idx="159">
                  <c:v>12</c:v>
                </c:pt>
                <c:pt idx="160">
                  <c:v>0</c:v>
                </c:pt>
                <c:pt idx="161">
                  <c:v>7</c:v>
                </c:pt>
                <c:pt idx="162">
                  <c:v>0</c:v>
                </c:pt>
                <c:pt idx="163">
                  <c:v>10</c:v>
                </c:pt>
                <c:pt idx="164">
                  <c:v>7</c:v>
                </c:pt>
                <c:pt idx="165">
                  <c:v>12</c:v>
                </c:pt>
                <c:pt idx="166">
                  <c:v>10</c:v>
                </c:pt>
                <c:pt idx="167">
                  <c:v>16</c:v>
                </c:pt>
                <c:pt idx="168">
                  <c:v>0</c:v>
                </c:pt>
                <c:pt idx="169">
                  <c:v>14</c:v>
                </c:pt>
                <c:pt idx="170">
                  <c:v>0</c:v>
                </c:pt>
                <c:pt idx="171">
                  <c:v>16</c:v>
                </c:pt>
                <c:pt idx="172">
                  <c:v>10</c:v>
                </c:pt>
                <c:pt idx="173">
                  <c:v>0</c:v>
                </c:pt>
                <c:pt idx="174">
                  <c:v>9</c:v>
                </c:pt>
                <c:pt idx="175">
                  <c:v>9</c:v>
                </c:pt>
                <c:pt idx="176">
                  <c:v>11</c:v>
                </c:pt>
                <c:pt idx="177">
                  <c:v>6</c:v>
                </c:pt>
                <c:pt idx="178">
                  <c:v>9</c:v>
                </c:pt>
                <c:pt idx="179">
                  <c:v>11</c:v>
                </c:pt>
                <c:pt idx="180">
                  <c:v>8</c:v>
                </c:pt>
                <c:pt idx="181">
                  <c:v>12</c:v>
                </c:pt>
                <c:pt idx="182">
                  <c:v>17</c:v>
                </c:pt>
                <c:pt idx="183">
                  <c:v>8</c:v>
                </c:pt>
                <c:pt idx="184">
                  <c:v>12</c:v>
                </c:pt>
                <c:pt idx="185">
                  <c:v>11</c:v>
                </c:pt>
                <c:pt idx="186">
                  <c:v>11</c:v>
                </c:pt>
                <c:pt idx="187">
                  <c:v>15</c:v>
                </c:pt>
                <c:pt idx="188">
                  <c:v>9</c:v>
                </c:pt>
                <c:pt idx="189">
                  <c:v>10</c:v>
                </c:pt>
                <c:pt idx="190">
                  <c:v>13</c:v>
                </c:pt>
                <c:pt idx="191">
                  <c:v>9</c:v>
                </c:pt>
                <c:pt idx="192">
                  <c:v>8</c:v>
                </c:pt>
                <c:pt idx="193">
                  <c:v>10</c:v>
                </c:pt>
                <c:pt idx="194">
                  <c:v>13.5</c:v>
                </c:pt>
                <c:pt idx="195">
                  <c:v>0</c:v>
                </c:pt>
                <c:pt idx="196">
                  <c:v>16</c:v>
                </c:pt>
                <c:pt idx="197">
                  <c:v>0</c:v>
                </c:pt>
                <c:pt idx="198">
                  <c:v>18</c:v>
                </c:pt>
                <c:pt idx="199">
                  <c:v>10</c:v>
                </c:pt>
                <c:pt idx="200">
                  <c:v>16</c:v>
                </c:pt>
                <c:pt idx="201">
                  <c:v>10</c:v>
                </c:pt>
                <c:pt idx="202">
                  <c:v>10</c:v>
                </c:pt>
                <c:pt idx="203">
                  <c:v>6</c:v>
                </c:pt>
                <c:pt idx="204">
                  <c:v>11</c:v>
                </c:pt>
                <c:pt idx="205">
                  <c:v>9</c:v>
                </c:pt>
                <c:pt idx="206">
                  <c:v>7</c:v>
                </c:pt>
                <c:pt idx="207">
                  <c:v>13</c:v>
                </c:pt>
                <c:pt idx="208">
                  <c:v>10</c:v>
                </c:pt>
                <c:pt idx="209">
                  <c:v>7</c:v>
                </c:pt>
                <c:pt idx="210">
                  <c:v>8</c:v>
                </c:pt>
                <c:pt idx="211">
                  <c:v>13</c:v>
                </c:pt>
                <c:pt idx="212">
                  <c:v>14</c:v>
                </c:pt>
                <c:pt idx="213">
                  <c:v>8</c:v>
                </c:pt>
                <c:pt idx="214">
                  <c:v>10</c:v>
                </c:pt>
                <c:pt idx="215">
                  <c:v>15</c:v>
                </c:pt>
                <c:pt idx="216">
                  <c:v>0</c:v>
                </c:pt>
                <c:pt idx="217">
                  <c:v>8</c:v>
                </c:pt>
                <c:pt idx="218">
                  <c:v>8</c:v>
                </c:pt>
                <c:pt idx="219">
                  <c:v>10</c:v>
                </c:pt>
                <c:pt idx="220">
                  <c:v>6</c:v>
                </c:pt>
                <c:pt idx="221">
                  <c:v>0</c:v>
                </c:pt>
                <c:pt idx="222">
                  <c:v>17</c:v>
                </c:pt>
                <c:pt idx="223">
                  <c:v>13</c:v>
                </c:pt>
                <c:pt idx="224">
                  <c:v>14</c:v>
                </c:pt>
                <c:pt idx="225">
                  <c:v>7</c:v>
                </c:pt>
                <c:pt idx="226">
                  <c:v>15</c:v>
                </c:pt>
                <c:pt idx="227">
                  <c:v>12</c:v>
                </c:pt>
                <c:pt idx="228">
                  <c:v>9</c:v>
                </c:pt>
                <c:pt idx="229">
                  <c:v>12</c:v>
                </c:pt>
                <c:pt idx="230">
                  <c:v>14</c:v>
                </c:pt>
                <c:pt idx="231">
                  <c:v>11</c:v>
                </c:pt>
                <c:pt idx="232">
                  <c:v>9</c:v>
                </c:pt>
                <c:pt idx="233">
                  <c:v>13</c:v>
                </c:pt>
                <c:pt idx="234">
                  <c:v>6</c:v>
                </c:pt>
                <c:pt idx="235">
                  <c:v>10</c:v>
                </c:pt>
                <c:pt idx="236">
                  <c:v>13</c:v>
                </c:pt>
                <c:pt idx="237">
                  <c:v>12</c:v>
                </c:pt>
                <c:pt idx="238">
                  <c:v>11</c:v>
                </c:pt>
                <c:pt idx="239">
                  <c:v>0</c:v>
                </c:pt>
                <c:pt idx="240">
                  <c:v>12</c:v>
                </c:pt>
                <c:pt idx="241">
                  <c:v>12</c:v>
                </c:pt>
                <c:pt idx="242">
                  <c:v>0</c:v>
                </c:pt>
                <c:pt idx="243">
                  <c:v>12</c:v>
                </c:pt>
                <c:pt idx="244">
                  <c:v>0</c:v>
                </c:pt>
                <c:pt idx="245">
                  <c:v>18</c:v>
                </c:pt>
                <c:pt idx="246">
                  <c:v>13</c:v>
                </c:pt>
                <c:pt idx="247">
                  <c:v>8</c:v>
                </c:pt>
                <c:pt idx="248">
                  <c:v>5</c:v>
                </c:pt>
                <c:pt idx="249">
                  <c:v>15</c:v>
                </c:pt>
                <c:pt idx="250">
                  <c:v>8</c:v>
                </c:pt>
                <c:pt idx="251">
                  <c:v>10</c:v>
                </c:pt>
                <c:pt idx="252">
                  <c:v>8</c:v>
                </c:pt>
                <c:pt idx="253">
                  <c:v>8</c:v>
                </c:pt>
                <c:pt idx="254">
                  <c:v>12</c:v>
                </c:pt>
                <c:pt idx="255">
                  <c:v>8</c:v>
                </c:pt>
                <c:pt idx="256">
                  <c:v>13</c:v>
                </c:pt>
                <c:pt idx="257">
                  <c:v>11</c:v>
                </c:pt>
                <c:pt idx="258">
                  <c:v>14</c:v>
                </c:pt>
                <c:pt idx="259">
                  <c:v>0</c:v>
                </c:pt>
                <c:pt idx="260">
                  <c:v>18</c:v>
                </c:pt>
                <c:pt idx="261">
                  <c:v>8</c:v>
                </c:pt>
                <c:pt idx="262">
                  <c:v>12</c:v>
                </c:pt>
                <c:pt idx="263">
                  <c:v>9</c:v>
                </c:pt>
                <c:pt idx="264">
                  <c:v>0</c:v>
                </c:pt>
                <c:pt idx="265">
                  <c:v>17</c:v>
                </c:pt>
                <c:pt idx="266">
                  <c:v>10</c:v>
                </c:pt>
                <c:pt idx="267">
                  <c:v>11</c:v>
                </c:pt>
                <c:pt idx="268">
                  <c:v>10</c:v>
                </c:pt>
                <c:pt idx="269">
                  <c:v>0</c:v>
                </c:pt>
                <c:pt idx="270">
                  <c:v>0</c:v>
                </c:pt>
                <c:pt idx="271">
                  <c:v>14</c:v>
                </c:pt>
                <c:pt idx="272">
                  <c:v>11</c:v>
                </c:pt>
                <c:pt idx="273">
                  <c:v>14</c:v>
                </c:pt>
                <c:pt idx="274">
                  <c:v>10</c:v>
                </c:pt>
                <c:pt idx="275">
                  <c:v>12</c:v>
                </c:pt>
                <c:pt idx="276">
                  <c:v>9</c:v>
                </c:pt>
                <c:pt idx="277">
                  <c:v>9</c:v>
                </c:pt>
                <c:pt idx="278">
                  <c:v>8</c:v>
                </c:pt>
                <c:pt idx="279">
                  <c:v>10</c:v>
                </c:pt>
                <c:pt idx="280">
                  <c:v>8</c:v>
                </c:pt>
                <c:pt idx="281">
                  <c:v>10</c:v>
                </c:pt>
                <c:pt idx="282">
                  <c:v>12</c:v>
                </c:pt>
                <c:pt idx="283">
                  <c:v>10</c:v>
                </c:pt>
                <c:pt idx="284">
                  <c:v>11</c:v>
                </c:pt>
                <c:pt idx="285">
                  <c:v>11</c:v>
                </c:pt>
                <c:pt idx="286">
                  <c:v>19</c:v>
                </c:pt>
                <c:pt idx="287">
                  <c:v>12</c:v>
                </c:pt>
                <c:pt idx="288">
                  <c:v>14</c:v>
                </c:pt>
                <c:pt idx="289">
                  <c:v>15</c:v>
                </c:pt>
                <c:pt idx="290">
                  <c:v>11</c:v>
                </c:pt>
                <c:pt idx="291">
                  <c:v>15</c:v>
                </c:pt>
                <c:pt idx="292">
                  <c:v>13</c:v>
                </c:pt>
                <c:pt idx="293">
                  <c:v>18</c:v>
                </c:pt>
                <c:pt idx="294">
                  <c:v>14</c:v>
                </c:pt>
                <c:pt idx="295">
                  <c:v>11</c:v>
                </c:pt>
                <c:pt idx="296">
                  <c:v>0</c:v>
                </c:pt>
                <c:pt idx="297">
                  <c:v>8</c:v>
                </c:pt>
                <c:pt idx="298">
                  <c:v>14</c:v>
                </c:pt>
                <c:pt idx="299">
                  <c:v>16</c:v>
                </c:pt>
                <c:pt idx="300">
                  <c:v>11</c:v>
                </c:pt>
                <c:pt idx="301">
                  <c:v>10</c:v>
                </c:pt>
                <c:pt idx="302">
                  <c:v>14</c:v>
                </c:pt>
                <c:pt idx="303">
                  <c:v>18</c:v>
                </c:pt>
                <c:pt idx="304">
                  <c:v>13</c:v>
                </c:pt>
                <c:pt idx="305">
                  <c:v>0</c:v>
                </c:pt>
                <c:pt idx="306">
                  <c:v>18</c:v>
                </c:pt>
                <c:pt idx="307">
                  <c:v>8</c:v>
                </c:pt>
                <c:pt idx="308">
                  <c:v>12</c:v>
                </c:pt>
                <c:pt idx="309">
                  <c:v>10</c:v>
                </c:pt>
                <c:pt idx="310">
                  <c:v>0</c:v>
                </c:pt>
                <c:pt idx="311">
                  <c:v>13</c:v>
                </c:pt>
                <c:pt idx="312">
                  <c:v>11</c:v>
                </c:pt>
                <c:pt idx="313">
                  <c:v>11</c:v>
                </c:pt>
                <c:pt idx="314">
                  <c:v>13</c:v>
                </c:pt>
                <c:pt idx="315">
                  <c:v>11</c:v>
                </c:pt>
                <c:pt idx="316">
                  <c:v>0</c:v>
                </c:pt>
                <c:pt idx="317">
                  <c:v>9</c:v>
                </c:pt>
                <c:pt idx="318">
                  <c:v>10</c:v>
                </c:pt>
                <c:pt idx="319">
                  <c:v>11</c:v>
                </c:pt>
                <c:pt idx="320">
                  <c:v>13</c:v>
                </c:pt>
                <c:pt idx="321">
                  <c:v>9</c:v>
                </c:pt>
                <c:pt idx="322">
                  <c:v>11</c:v>
                </c:pt>
                <c:pt idx="323">
                  <c:v>15</c:v>
                </c:pt>
                <c:pt idx="324">
                  <c:v>15</c:v>
                </c:pt>
                <c:pt idx="325">
                  <c:v>11</c:v>
                </c:pt>
                <c:pt idx="326">
                  <c:v>16</c:v>
                </c:pt>
                <c:pt idx="327">
                  <c:v>10</c:v>
                </c:pt>
                <c:pt idx="328">
                  <c:v>9</c:v>
                </c:pt>
                <c:pt idx="329">
                  <c:v>14</c:v>
                </c:pt>
                <c:pt idx="330">
                  <c:v>8</c:v>
                </c:pt>
                <c:pt idx="331">
                  <c:v>14</c:v>
                </c:pt>
                <c:pt idx="332">
                  <c:v>0</c:v>
                </c:pt>
                <c:pt idx="333">
                  <c:v>0</c:v>
                </c:pt>
                <c:pt idx="334">
                  <c:v>0</c:v>
                </c:pt>
                <c:pt idx="335">
                  <c:v>15</c:v>
                </c:pt>
                <c:pt idx="336">
                  <c:v>13</c:v>
                </c:pt>
                <c:pt idx="337">
                  <c:v>0</c:v>
                </c:pt>
                <c:pt idx="338">
                  <c:v>17</c:v>
                </c:pt>
                <c:pt idx="339">
                  <c:v>10</c:v>
                </c:pt>
                <c:pt idx="340">
                  <c:v>11</c:v>
                </c:pt>
                <c:pt idx="341">
                  <c:v>0</c:v>
                </c:pt>
                <c:pt idx="342">
                  <c:v>15</c:v>
                </c:pt>
                <c:pt idx="343">
                  <c:v>0</c:v>
                </c:pt>
                <c:pt idx="344">
                  <c:v>10</c:v>
                </c:pt>
                <c:pt idx="345">
                  <c:v>14</c:v>
                </c:pt>
                <c:pt idx="346">
                  <c:v>16</c:v>
                </c:pt>
                <c:pt idx="347">
                  <c:v>9</c:v>
                </c:pt>
                <c:pt idx="348">
                  <c:v>0</c:v>
                </c:pt>
                <c:pt idx="349">
                  <c:v>13</c:v>
                </c:pt>
                <c:pt idx="350">
                  <c:v>8</c:v>
                </c:pt>
                <c:pt idx="351">
                  <c:v>13</c:v>
                </c:pt>
                <c:pt idx="352">
                  <c:v>8</c:v>
                </c:pt>
                <c:pt idx="353">
                  <c:v>8</c:v>
                </c:pt>
                <c:pt idx="354">
                  <c:v>11</c:v>
                </c:pt>
                <c:pt idx="355">
                  <c:v>9</c:v>
                </c:pt>
                <c:pt idx="356">
                  <c:v>13</c:v>
                </c:pt>
                <c:pt idx="357">
                  <c:v>11</c:v>
                </c:pt>
                <c:pt idx="358">
                  <c:v>10</c:v>
                </c:pt>
                <c:pt idx="359">
                  <c:v>16</c:v>
                </c:pt>
                <c:pt idx="360">
                  <c:v>13</c:v>
                </c:pt>
                <c:pt idx="361">
                  <c:v>12</c:v>
                </c:pt>
                <c:pt idx="362">
                  <c:v>10</c:v>
                </c:pt>
                <c:pt idx="363">
                  <c:v>15</c:v>
                </c:pt>
                <c:pt idx="364">
                  <c:v>12</c:v>
                </c:pt>
                <c:pt idx="365">
                  <c:v>10</c:v>
                </c:pt>
                <c:pt idx="366">
                  <c:v>13</c:v>
                </c:pt>
                <c:pt idx="367">
                  <c:v>0</c:v>
                </c:pt>
                <c:pt idx="368">
                  <c:v>10</c:v>
                </c:pt>
                <c:pt idx="369">
                  <c:v>11</c:v>
                </c:pt>
                <c:pt idx="370">
                  <c:v>9</c:v>
                </c:pt>
                <c:pt idx="371">
                  <c:v>12</c:v>
                </c:pt>
                <c:pt idx="372">
                  <c:v>11</c:v>
                </c:pt>
                <c:pt idx="373">
                  <c:v>5</c:v>
                </c:pt>
                <c:pt idx="374">
                  <c:v>19</c:v>
                </c:pt>
                <c:pt idx="375">
                  <c:v>10</c:v>
                </c:pt>
                <c:pt idx="376">
                  <c:v>15</c:v>
                </c:pt>
                <c:pt idx="377">
                  <c:v>10</c:v>
                </c:pt>
                <c:pt idx="378">
                  <c:v>15</c:v>
                </c:pt>
                <c:pt idx="379">
                  <c:v>10</c:v>
                </c:pt>
                <c:pt idx="380">
                  <c:v>14</c:v>
                </c:pt>
                <c:pt idx="381">
                  <c:v>7</c:v>
                </c:pt>
                <c:pt idx="382">
                  <c:v>10</c:v>
                </c:pt>
                <c:pt idx="383">
                  <c:v>0</c:v>
                </c:pt>
                <c:pt idx="384">
                  <c:v>5</c:v>
                </c:pt>
                <c:pt idx="385">
                  <c:v>10</c:v>
                </c:pt>
                <c:pt idx="386">
                  <c:v>6</c:v>
                </c:pt>
                <c:pt idx="387">
                  <c:v>0</c:v>
                </c:pt>
                <c:pt idx="388">
                  <c:v>8</c:v>
                </c:pt>
                <c:pt idx="389">
                  <c:v>0</c:v>
                </c:pt>
                <c:pt idx="390">
                  <c:v>9</c:v>
                </c:pt>
                <c:pt idx="391">
                  <c:v>16</c:v>
                </c:pt>
                <c:pt idx="392">
                  <c:v>7</c:v>
                </c:pt>
                <c:pt idx="393">
                  <c:v>10</c:v>
                </c:pt>
                <c:pt idx="394">
                  <c:v>9</c:v>
                </c:pt>
              </c:numCache>
            </c:numRef>
          </c:yVal>
          <c:smooth val="0"/>
          <c:extLst>
            <c:ext xmlns:c16="http://schemas.microsoft.com/office/drawing/2014/chart" uri="{C3380CC4-5D6E-409C-BE32-E72D297353CC}">
              <c16:uniqueId val="{00000000-1C88-4A29-B063-9B7EB715C508}"/>
            </c:ext>
          </c:extLst>
        </c:ser>
        <c:dLbls>
          <c:showLegendKey val="0"/>
          <c:showVal val="0"/>
          <c:showCatName val="0"/>
          <c:showSerName val="0"/>
          <c:showPercent val="0"/>
          <c:showBubbleSize val="0"/>
        </c:dLbls>
        <c:axId val="1647984448"/>
        <c:axId val="1647981088"/>
      </c:scatterChart>
      <c:valAx>
        <c:axId val="1647984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Number</a:t>
                </a:r>
                <a:r>
                  <a:rPr lang="en-ID" baseline="0"/>
                  <a:t> Of Absences</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81088"/>
        <c:crosses val="autoZero"/>
        <c:crossBetween val="midCat"/>
      </c:valAx>
      <c:valAx>
        <c:axId val="1647981088"/>
        <c:scaling>
          <c:orientation val="minMax"/>
          <c:max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Final</a:t>
                </a:r>
                <a:r>
                  <a:rPr lang="en-ID" baseline="0"/>
                  <a:t> Grade (0-20)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844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Analysis!$Q$94</c:f>
              <c:strCache>
                <c:ptCount val="1"/>
                <c:pt idx="0">
                  <c:v>GP</c:v>
                </c:pt>
              </c:strCache>
            </c:strRef>
          </c:tx>
          <c:spPr>
            <a:solidFill>
              <a:schemeClr val="accent1"/>
            </a:solidFill>
            <a:ln>
              <a:noFill/>
            </a:ln>
            <a:effectLst/>
          </c:spPr>
          <c:invertIfNegative val="0"/>
          <c:cat>
            <c:strRef>
              <c:f>Analysis!$P$95:$P$96</c:f>
              <c:strCache>
                <c:ptCount val="2"/>
                <c:pt idx="0">
                  <c:v>Student Count</c:v>
                </c:pt>
                <c:pt idx="1">
                  <c:v>Avg Grade</c:v>
                </c:pt>
              </c:strCache>
            </c:strRef>
          </c:cat>
          <c:val>
            <c:numRef>
              <c:f>Analysis!$Q$95:$Q$96</c:f>
              <c:numCache>
                <c:formatCode>0.00</c:formatCode>
                <c:ptCount val="2"/>
                <c:pt idx="0" formatCode="General">
                  <c:v>349</c:v>
                </c:pt>
                <c:pt idx="1">
                  <c:v>10.25214899713467</c:v>
                </c:pt>
              </c:numCache>
            </c:numRef>
          </c:val>
          <c:extLst>
            <c:ext xmlns:c16="http://schemas.microsoft.com/office/drawing/2014/chart" uri="{C3380CC4-5D6E-409C-BE32-E72D297353CC}">
              <c16:uniqueId val="{00000000-4466-4E16-B3DE-498813247A8A}"/>
            </c:ext>
          </c:extLst>
        </c:ser>
        <c:ser>
          <c:idx val="1"/>
          <c:order val="1"/>
          <c:tx>
            <c:strRef>
              <c:f>Analysis!$R$94</c:f>
              <c:strCache>
                <c:ptCount val="1"/>
                <c:pt idx="0">
                  <c:v>MS</c:v>
                </c:pt>
              </c:strCache>
            </c:strRef>
          </c:tx>
          <c:spPr>
            <a:solidFill>
              <a:schemeClr val="accent2"/>
            </a:solidFill>
            <a:ln>
              <a:noFill/>
            </a:ln>
            <a:effectLst/>
          </c:spPr>
          <c:invertIfNegative val="0"/>
          <c:cat>
            <c:strRef>
              <c:f>Analysis!$P$95:$P$96</c:f>
              <c:strCache>
                <c:ptCount val="2"/>
                <c:pt idx="0">
                  <c:v>Student Count</c:v>
                </c:pt>
                <c:pt idx="1">
                  <c:v>Avg Grade</c:v>
                </c:pt>
              </c:strCache>
            </c:strRef>
          </c:cat>
          <c:val>
            <c:numRef>
              <c:f>Analysis!$R$95:$R$96</c:f>
              <c:numCache>
                <c:formatCode>0.00</c:formatCode>
                <c:ptCount val="2"/>
                <c:pt idx="0" formatCode="General">
                  <c:v>46</c:v>
                </c:pt>
                <c:pt idx="1">
                  <c:v>9.8478260869565215</c:v>
                </c:pt>
              </c:numCache>
            </c:numRef>
          </c:val>
          <c:extLst>
            <c:ext xmlns:c16="http://schemas.microsoft.com/office/drawing/2014/chart" uri="{C3380CC4-5D6E-409C-BE32-E72D297353CC}">
              <c16:uniqueId val="{00000001-4466-4E16-B3DE-498813247A8A}"/>
            </c:ext>
          </c:extLst>
        </c:ser>
        <c:dLbls>
          <c:showLegendKey val="0"/>
          <c:showVal val="0"/>
          <c:showCatName val="0"/>
          <c:showSerName val="0"/>
          <c:showPercent val="0"/>
          <c:showBubbleSize val="0"/>
        </c:dLbls>
        <c:gapWidth val="150"/>
        <c:overlap val="100"/>
        <c:axId val="1647874048"/>
        <c:axId val="1647866368"/>
      </c:barChart>
      <c:catAx>
        <c:axId val="16478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866368"/>
        <c:crosses val="autoZero"/>
        <c:auto val="1"/>
        <c:lblAlgn val="ctr"/>
        <c:lblOffset val="100"/>
        <c:noMultiLvlLbl val="0"/>
      </c:catAx>
      <c:valAx>
        <c:axId val="1647866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874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 Final Grade By School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Analysis!$M$2</c:f>
              <c:strCache>
                <c:ptCount val="1"/>
                <c:pt idx="0">
                  <c:v>Avg Grade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93D9-4157-94AA-5333CD1F33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Analysis!$L$3:$L$4</c:f>
              <c:strCache>
                <c:ptCount val="2"/>
                <c:pt idx="0">
                  <c:v>Gabriel Pereira</c:v>
                </c:pt>
                <c:pt idx="1">
                  <c:v>Mousinho da Silveira</c:v>
                </c:pt>
              </c:strCache>
            </c:strRef>
          </c:cat>
          <c:val>
            <c:numRef>
              <c:f>Analysis!$M$3:$M$4</c:f>
              <c:numCache>
                <c:formatCode>0.00</c:formatCode>
                <c:ptCount val="2"/>
                <c:pt idx="0">
                  <c:v>10.25214899713467</c:v>
                </c:pt>
                <c:pt idx="1">
                  <c:v>9.8478260869565215</c:v>
                </c:pt>
              </c:numCache>
            </c:numRef>
          </c:val>
          <c:extLst>
            <c:ext xmlns:c16="http://schemas.microsoft.com/office/drawing/2014/chart" uri="{C3380CC4-5D6E-409C-BE32-E72D297353CC}">
              <c16:uniqueId val="{00000002-93D9-4157-94AA-5333CD1F337D}"/>
            </c:ext>
          </c:extLst>
        </c:ser>
        <c:dLbls>
          <c:dLblPos val="outEnd"/>
          <c:showLegendKey val="0"/>
          <c:showVal val="1"/>
          <c:showCatName val="0"/>
          <c:showSerName val="0"/>
          <c:showPercent val="0"/>
          <c:showBubbleSize val="0"/>
        </c:dLbls>
        <c:gapWidth val="182"/>
        <c:axId val="957582832"/>
        <c:axId val="957590992"/>
      </c:barChart>
      <c:catAx>
        <c:axId val="957582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School</a:t>
                </a:r>
                <a:r>
                  <a:rPr lang="en-ID" baseline="0"/>
                  <a:t> Name</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90992"/>
        <c:crosses val="autoZero"/>
        <c:auto val="1"/>
        <c:lblAlgn val="ctr"/>
        <c:lblOffset val="100"/>
        <c:noMultiLvlLbl val="0"/>
      </c:catAx>
      <c:valAx>
        <c:axId val="957590992"/>
        <c:scaling>
          <c:orientation val="minMax"/>
          <c:max val="2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Average</a:t>
                </a:r>
                <a:r>
                  <a:rPr lang="en-ID" baseline="0"/>
                  <a:t> Grade (0-20)</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82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Grade Progress Across Assesment Period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Analysis!$M$23</c:f>
              <c:strCache>
                <c:ptCount val="1"/>
                <c:pt idx="0">
                  <c:v>Average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Analysis!$L$24:$L$26</c:f>
              <c:strCache>
                <c:ptCount val="3"/>
                <c:pt idx="0">
                  <c:v>Grade 1</c:v>
                </c:pt>
                <c:pt idx="1">
                  <c:v>Grade 2</c:v>
                </c:pt>
                <c:pt idx="2">
                  <c:v>Final Grade</c:v>
                </c:pt>
              </c:strCache>
            </c:strRef>
          </c:cat>
          <c:val>
            <c:numRef>
              <c:f>Analysis!$M$24:$M$26</c:f>
              <c:numCache>
                <c:formatCode>0.00</c:formatCode>
                <c:ptCount val="3"/>
                <c:pt idx="0">
                  <c:v>10.924050632911392</c:v>
                </c:pt>
                <c:pt idx="1">
                  <c:v>10.715189873417721</c:v>
                </c:pt>
                <c:pt idx="2">
                  <c:v>10.20506329113924</c:v>
                </c:pt>
              </c:numCache>
            </c:numRef>
          </c:val>
          <c:smooth val="0"/>
          <c:extLst>
            <c:ext xmlns:c16="http://schemas.microsoft.com/office/drawing/2014/chart" uri="{C3380CC4-5D6E-409C-BE32-E72D297353CC}">
              <c16:uniqueId val="{00000002-8825-41C5-8FB1-F7B770F36D32}"/>
            </c:ext>
          </c:extLst>
        </c:ser>
        <c:dLbls>
          <c:showLegendKey val="0"/>
          <c:showVal val="0"/>
          <c:showCatName val="0"/>
          <c:showSerName val="0"/>
          <c:showPercent val="0"/>
          <c:showBubbleSize val="0"/>
        </c:dLbls>
        <c:marker val="1"/>
        <c:smooth val="0"/>
        <c:axId val="1647968128"/>
        <c:axId val="1647978208"/>
      </c:lineChart>
      <c:catAx>
        <c:axId val="16479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78208"/>
        <c:crosses val="autoZero"/>
        <c:auto val="1"/>
        <c:lblAlgn val="ctr"/>
        <c:lblOffset val="100"/>
        <c:noMultiLvlLbl val="0"/>
      </c:catAx>
      <c:valAx>
        <c:axId val="1647978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6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Internet Access Distribution Among 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Analysis!$M$47</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58-4F41-8A74-16B0FAD089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58-4F41-8A74-16B0FAD089D1}"/>
              </c:ext>
            </c:extLst>
          </c:dPt>
          <c:dLbls>
            <c:dLbl>
              <c:idx val="0"/>
              <c:layout>
                <c:manualLayout>
                  <c:x val="8.015890201224847E-2"/>
                  <c:y val="-0.2998552785068532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58-4F41-8A74-16B0FAD089D1}"/>
                </c:ext>
              </c:extLst>
            </c:dLbl>
            <c:dLbl>
              <c:idx val="1"/>
              <c:layout>
                <c:manualLayout>
                  <c:x val="-2.7407917760279964E-2"/>
                  <c:y val="6.268081073199183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58-4F41-8A74-16B0FAD089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Analysis!$L$48:$L$49</c:f>
              <c:strCache>
                <c:ptCount val="2"/>
                <c:pt idx="0">
                  <c:v>Yes</c:v>
                </c:pt>
                <c:pt idx="1">
                  <c:v>No</c:v>
                </c:pt>
              </c:strCache>
            </c:strRef>
          </c:cat>
          <c:val>
            <c:numRef>
              <c:f>Analysis!$M$48:$M$49</c:f>
              <c:numCache>
                <c:formatCode>0%</c:formatCode>
                <c:ptCount val="2"/>
                <c:pt idx="0">
                  <c:v>0.83080808080808077</c:v>
                </c:pt>
                <c:pt idx="1">
                  <c:v>0.16666666666666666</c:v>
                </c:pt>
              </c:numCache>
            </c:numRef>
          </c:val>
          <c:extLst>
            <c:ext xmlns:c16="http://schemas.microsoft.com/office/drawing/2014/chart" uri="{C3380CC4-5D6E-409C-BE32-E72D297353CC}">
              <c16:uniqueId val="{00000004-1E58-4F41-8A74-16B0FAD089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Absences &amp; Final Grade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Analysis!$M$72</c:f>
              <c:strCache>
                <c:ptCount val="1"/>
                <c:pt idx="0">
                  <c:v>Final Grade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Analysis!$L$73:$L$468</c:f>
              <c:numCache>
                <c:formatCode>General</c:formatCode>
                <c:ptCount val="396"/>
                <c:pt idx="0">
                  <c:v>6</c:v>
                </c:pt>
                <c:pt idx="1">
                  <c:v>4</c:v>
                </c:pt>
                <c:pt idx="2">
                  <c:v>10</c:v>
                </c:pt>
                <c:pt idx="3">
                  <c:v>2</c:v>
                </c:pt>
                <c:pt idx="4">
                  <c:v>4</c:v>
                </c:pt>
                <c:pt idx="5">
                  <c:v>10</c:v>
                </c:pt>
                <c:pt idx="6">
                  <c:v>0</c:v>
                </c:pt>
                <c:pt idx="7">
                  <c:v>6</c:v>
                </c:pt>
                <c:pt idx="8">
                  <c:v>0</c:v>
                </c:pt>
                <c:pt idx="9">
                  <c:v>0</c:v>
                </c:pt>
                <c:pt idx="10">
                  <c:v>0</c:v>
                </c:pt>
                <c:pt idx="11">
                  <c:v>4</c:v>
                </c:pt>
                <c:pt idx="12">
                  <c:v>2</c:v>
                </c:pt>
                <c:pt idx="13">
                  <c:v>2</c:v>
                </c:pt>
                <c:pt idx="14">
                  <c:v>0</c:v>
                </c:pt>
                <c:pt idx="15">
                  <c:v>4</c:v>
                </c:pt>
                <c:pt idx="16">
                  <c:v>6</c:v>
                </c:pt>
                <c:pt idx="17">
                  <c:v>4</c:v>
                </c:pt>
                <c:pt idx="18">
                  <c:v>16</c:v>
                </c:pt>
                <c:pt idx="19">
                  <c:v>4</c:v>
                </c:pt>
                <c:pt idx="20">
                  <c:v>0</c:v>
                </c:pt>
                <c:pt idx="21">
                  <c:v>0</c:v>
                </c:pt>
                <c:pt idx="22">
                  <c:v>2</c:v>
                </c:pt>
                <c:pt idx="23">
                  <c:v>0</c:v>
                </c:pt>
                <c:pt idx="24">
                  <c:v>2</c:v>
                </c:pt>
                <c:pt idx="25">
                  <c:v>14</c:v>
                </c:pt>
                <c:pt idx="26">
                  <c:v>2</c:v>
                </c:pt>
                <c:pt idx="27">
                  <c:v>4</c:v>
                </c:pt>
                <c:pt idx="28">
                  <c:v>4</c:v>
                </c:pt>
                <c:pt idx="29">
                  <c:v>16</c:v>
                </c:pt>
                <c:pt idx="30">
                  <c:v>0</c:v>
                </c:pt>
                <c:pt idx="31">
                  <c:v>0</c:v>
                </c:pt>
                <c:pt idx="32">
                  <c:v>0</c:v>
                </c:pt>
                <c:pt idx="33">
                  <c:v>0</c:v>
                </c:pt>
                <c:pt idx="34">
                  <c:v>0</c:v>
                </c:pt>
                <c:pt idx="35">
                  <c:v>0</c:v>
                </c:pt>
                <c:pt idx="36">
                  <c:v>2</c:v>
                </c:pt>
                <c:pt idx="37">
                  <c:v>7</c:v>
                </c:pt>
                <c:pt idx="38">
                  <c:v>2</c:v>
                </c:pt>
                <c:pt idx="39">
                  <c:v>8</c:v>
                </c:pt>
                <c:pt idx="40">
                  <c:v>25</c:v>
                </c:pt>
                <c:pt idx="41">
                  <c:v>8</c:v>
                </c:pt>
                <c:pt idx="42">
                  <c:v>2</c:v>
                </c:pt>
                <c:pt idx="43">
                  <c:v>0</c:v>
                </c:pt>
                <c:pt idx="44">
                  <c:v>14</c:v>
                </c:pt>
                <c:pt idx="45">
                  <c:v>8</c:v>
                </c:pt>
                <c:pt idx="46">
                  <c:v>12</c:v>
                </c:pt>
                <c:pt idx="47">
                  <c:v>4</c:v>
                </c:pt>
                <c:pt idx="48">
                  <c:v>2</c:v>
                </c:pt>
                <c:pt idx="49">
                  <c:v>2</c:v>
                </c:pt>
                <c:pt idx="50">
                  <c:v>2</c:v>
                </c:pt>
                <c:pt idx="51">
                  <c:v>2</c:v>
                </c:pt>
                <c:pt idx="52">
                  <c:v>6</c:v>
                </c:pt>
                <c:pt idx="53">
                  <c:v>0</c:v>
                </c:pt>
                <c:pt idx="54">
                  <c:v>6</c:v>
                </c:pt>
                <c:pt idx="55">
                  <c:v>8</c:v>
                </c:pt>
                <c:pt idx="56">
                  <c:v>0</c:v>
                </c:pt>
                <c:pt idx="57">
                  <c:v>4</c:v>
                </c:pt>
                <c:pt idx="58">
                  <c:v>2</c:v>
                </c:pt>
                <c:pt idx="59">
                  <c:v>2</c:v>
                </c:pt>
                <c:pt idx="60">
                  <c:v>6</c:v>
                </c:pt>
                <c:pt idx="61">
                  <c:v>6</c:v>
                </c:pt>
                <c:pt idx="62">
                  <c:v>4</c:v>
                </c:pt>
                <c:pt idx="63">
                  <c:v>2</c:v>
                </c:pt>
                <c:pt idx="64">
                  <c:v>0</c:v>
                </c:pt>
                <c:pt idx="65">
                  <c:v>2</c:v>
                </c:pt>
                <c:pt idx="66">
                  <c:v>4</c:v>
                </c:pt>
                <c:pt idx="67">
                  <c:v>4</c:v>
                </c:pt>
                <c:pt idx="68">
                  <c:v>2</c:v>
                </c:pt>
                <c:pt idx="69">
                  <c:v>12</c:v>
                </c:pt>
                <c:pt idx="70">
                  <c:v>0</c:v>
                </c:pt>
                <c:pt idx="71">
                  <c:v>0</c:v>
                </c:pt>
                <c:pt idx="72">
                  <c:v>2</c:v>
                </c:pt>
                <c:pt idx="73">
                  <c:v>2</c:v>
                </c:pt>
                <c:pt idx="74">
                  <c:v>54</c:v>
                </c:pt>
                <c:pt idx="75">
                  <c:v>6</c:v>
                </c:pt>
                <c:pt idx="76">
                  <c:v>8</c:v>
                </c:pt>
                <c:pt idx="77">
                  <c:v>0</c:v>
                </c:pt>
                <c:pt idx="78">
                  <c:v>2</c:v>
                </c:pt>
                <c:pt idx="79">
                  <c:v>12</c:v>
                </c:pt>
                <c:pt idx="80">
                  <c:v>2</c:v>
                </c:pt>
                <c:pt idx="81">
                  <c:v>4</c:v>
                </c:pt>
                <c:pt idx="82">
                  <c:v>10</c:v>
                </c:pt>
                <c:pt idx="83">
                  <c:v>4</c:v>
                </c:pt>
                <c:pt idx="84">
                  <c:v>2</c:v>
                </c:pt>
                <c:pt idx="85">
                  <c:v>6</c:v>
                </c:pt>
                <c:pt idx="86">
                  <c:v>4</c:v>
                </c:pt>
                <c:pt idx="87">
                  <c:v>4</c:v>
                </c:pt>
                <c:pt idx="88">
                  <c:v>12</c:v>
                </c:pt>
                <c:pt idx="89">
                  <c:v>18</c:v>
                </c:pt>
                <c:pt idx="90">
                  <c:v>0</c:v>
                </c:pt>
                <c:pt idx="91">
                  <c:v>4</c:v>
                </c:pt>
                <c:pt idx="92">
                  <c:v>4</c:v>
                </c:pt>
                <c:pt idx="93">
                  <c:v>0</c:v>
                </c:pt>
                <c:pt idx="94">
                  <c:v>6</c:v>
                </c:pt>
                <c:pt idx="95">
                  <c:v>2</c:v>
                </c:pt>
                <c:pt idx="96">
                  <c:v>2</c:v>
                </c:pt>
                <c:pt idx="97">
                  <c:v>2</c:v>
                </c:pt>
                <c:pt idx="98">
                  <c:v>6</c:v>
                </c:pt>
                <c:pt idx="99">
                  <c:v>0</c:v>
                </c:pt>
                <c:pt idx="100">
                  <c:v>14</c:v>
                </c:pt>
                <c:pt idx="101">
                  <c:v>0</c:v>
                </c:pt>
                <c:pt idx="102">
                  <c:v>4</c:v>
                </c:pt>
                <c:pt idx="103">
                  <c:v>26</c:v>
                </c:pt>
                <c:pt idx="104">
                  <c:v>0</c:v>
                </c:pt>
                <c:pt idx="105">
                  <c:v>10</c:v>
                </c:pt>
                <c:pt idx="106">
                  <c:v>8</c:v>
                </c:pt>
                <c:pt idx="107">
                  <c:v>2</c:v>
                </c:pt>
                <c:pt idx="108">
                  <c:v>6</c:v>
                </c:pt>
                <c:pt idx="109">
                  <c:v>4</c:v>
                </c:pt>
                <c:pt idx="110">
                  <c:v>6</c:v>
                </c:pt>
                <c:pt idx="111">
                  <c:v>0</c:v>
                </c:pt>
                <c:pt idx="112">
                  <c:v>6</c:v>
                </c:pt>
                <c:pt idx="113">
                  <c:v>10</c:v>
                </c:pt>
                <c:pt idx="114">
                  <c:v>8</c:v>
                </c:pt>
                <c:pt idx="115">
                  <c:v>2</c:v>
                </c:pt>
                <c:pt idx="116">
                  <c:v>2</c:v>
                </c:pt>
                <c:pt idx="117">
                  <c:v>0</c:v>
                </c:pt>
                <c:pt idx="118">
                  <c:v>20</c:v>
                </c:pt>
                <c:pt idx="119">
                  <c:v>6</c:v>
                </c:pt>
                <c:pt idx="120">
                  <c:v>2</c:v>
                </c:pt>
                <c:pt idx="121">
                  <c:v>6</c:v>
                </c:pt>
                <c:pt idx="122">
                  <c:v>2</c:v>
                </c:pt>
                <c:pt idx="123">
                  <c:v>18</c:v>
                </c:pt>
                <c:pt idx="124">
                  <c:v>0</c:v>
                </c:pt>
                <c:pt idx="125">
                  <c:v>0</c:v>
                </c:pt>
                <c:pt idx="126">
                  <c:v>0</c:v>
                </c:pt>
                <c:pt idx="127">
                  <c:v>2</c:v>
                </c:pt>
                <c:pt idx="128">
                  <c:v>0</c:v>
                </c:pt>
                <c:pt idx="129">
                  <c:v>8</c:v>
                </c:pt>
                <c:pt idx="130">
                  <c:v>0</c:v>
                </c:pt>
                <c:pt idx="131">
                  <c:v>0</c:v>
                </c:pt>
                <c:pt idx="132">
                  <c:v>12</c:v>
                </c:pt>
                <c:pt idx="133">
                  <c:v>16</c:v>
                </c:pt>
                <c:pt idx="134">
                  <c:v>0</c:v>
                </c:pt>
                <c:pt idx="135">
                  <c:v>0</c:v>
                </c:pt>
                <c:pt idx="136">
                  <c:v>0</c:v>
                </c:pt>
                <c:pt idx="137">
                  <c:v>0</c:v>
                </c:pt>
                <c:pt idx="138">
                  <c:v>0</c:v>
                </c:pt>
                <c:pt idx="139">
                  <c:v>0</c:v>
                </c:pt>
                <c:pt idx="140">
                  <c:v>0</c:v>
                </c:pt>
                <c:pt idx="141">
                  <c:v>8</c:v>
                </c:pt>
                <c:pt idx="142">
                  <c:v>2</c:v>
                </c:pt>
                <c:pt idx="143">
                  <c:v>2</c:v>
                </c:pt>
                <c:pt idx="144">
                  <c:v>0</c:v>
                </c:pt>
                <c:pt idx="145">
                  <c:v>0</c:v>
                </c:pt>
                <c:pt idx="146">
                  <c:v>0</c:v>
                </c:pt>
                <c:pt idx="147">
                  <c:v>2</c:v>
                </c:pt>
                <c:pt idx="148">
                  <c:v>0</c:v>
                </c:pt>
                <c:pt idx="149">
                  <c:v>0</c:v>
                </c:pt>
                <c:pt idx="150">
                  <c:v>0</c:v>
                </c:pt>
                <c:pt idx="151">
                  <c:v>6</c:v>
                </c:pt>
                <c:pt idx="152">
                  <c:v>8</c:v>
                </c:pt>
                <c:pt idx="153">
                  <c:v>0</c:v>
                </c:pt>
                <c:pt idx="154">
                  <c:v>0</c:v>
                </c:pt>
                <c:pt idx="155">
                  <c:v>2</c:v>
                </c:pt>
                <c:pt idx="156">
                  <c:v>8</c:v>
                </c:pt>
                <c:pt idx="157">
                  <c:v>6</c:v>
                </c:pt>
                <c:pt idx="158">
                  <c:v>2</c:v>
                </c:pt>
                <c:pt idx="159">
                  <c:v>4</c:v>
                </c:pt>
                <c:pt idx="160">
                  <c:v>0</c:v>
                </c:pt>
                <c:pt idx="161">
                  <c:v>6</c:v>
                </c:pt>
                <c:pt idx="162">
                  <c:v>0</c:v>
                </c:pt>
                <c:pt idx="163">
                  <c:v>2</c:v>
                </c:pt>
                <c:pt idx="164">
                  <c:v>0</c:v>
                </c:pt>
                <c:pt idx="165">
                  <c:v>16</c:v>
                </c:pt>
                <c:pt idx="166">
                  <c:v>4</c:v>
                </c:pt>
                <c:pt idx="167">
                  <c:v>0</c:v>
                </c:pt>
                <c:pt idx="168">
                  <c:v>0</c:v>
                </c:pt>
                <c:pt idx="169">
                  <c:v>0</c:v>
                </c:pt>
                <c:pt idx="170">
                  <c:v>0</c:v>
                </c:pt>
                <c:pt idx="171">
                  <c:v>2</c:v>
                </c:pt>
                <c:pt idx="172">
                  <c:v>0</c:v>
                </c:pt>
                <c:pt idx="173">
                  <c:v>0</c:v>
                </c:pt>
                <c:pt idx="174">
                  <c:v>4</c:v>
                </c:pt>
                <c:pt idx="175">
                  <c:v>4</c:v>
                </c:pt>
                <c:pt idx="176">
                  <c:v>2</c:v>
                </c:pt>
                <c:pt idx="177">
                  <c:v>4</c:v>
                </c:pt>
                <c:pt idx="178">
                  <c:v>10</c:v>
                </c:pt>
                <c:pt idx="179">
                  <c:v>4</c:v>
                </c:pt>
                <c:pt idx="180">
                  <c:v>10</c:v>
                </c:pt>
                <c:pt idx="181">
                  <c:v>2</c:v>
                </c:pt>
                <c:pt idx="182">
                  <c:v>0</c:v>
                </c:pt>
                <c:pt idx="183">
                  <c:v>56</c:v>
                </c:pt>
                <c:pt idx="184">
                  <c:v>14</c:v>
                </c:pt>
                <c:pt idx="185">
                  <c:v>12</c:v>
                </c:pt>
                <c:pt idx="186">
                  <c:v>2</c:v>
                </c:pt>
                <c:pt idx="187">
                  <c:v>0</c:v>
                </c:pt>
                <c:pt idx="188">
                  <c:v>6</c:v>
                </c:pt>
                <c:pt idx="189">
                  <c:v>4</c:v>
                </c:pt>
                <c:pt idx="190">
                  <c:v>10</c:v>
                </c:pt>
                <c:pt idx="191">
                  <c:v>0</c:v>
                </c:pt>
                <c:pt idx="192">
                  <c:v>12</c:v>
                </c:pt>
                <c:pt idx="193">
                  <c:v>8</c:v>
                </c:pt>
                <c:pt idx="194">
                  <c:v>0</c:v>
                </c:pt>
                <c:pt idx="195">
                  <c:v>0</c:v>
                </c:pt>
                <c:pt idx="196">
                  <c:v>4</c:v>
                </c:pt>
                <c:pt idx="197">
                  <c:v>8</c:v>
                </c:pt>
                <c:pt idx="198">
                  <c:v>24</c:v>
                </c:pt>
                <c:pt idx="199">
                  <c:v>0</c:v>
                </c:pt>
                <c:pt idx="200">
                  <c:v>2</c:v>
                </c:pt>
                <c:pt idx="201">
                  <c:v>6</c:v>
                </c:pt>
                <c:pt idx="202">
                  <c:v>4</c:v>
                </c:pt>
                <c:pt idx="203">
                  <c:v>18</c:v>
                </c:pt>
                <c:pt idx="204">
                  <c:v>6</c:v>
                </c:pt>
                <c:pt idx="205">
                  <c:v>28</c:v>
                </c:pt>
                <c:pt idx="206">
                  <c:v>5</c:v>
                </c:pt>
                <c:pt idx="207">
                  <c:v>10</c:v>
                </c:pt>
                <c:pt idx="208">
                  <c:v>6</c:v>
                </c:pt>
                <c:pt idx="209">
                  <c:v>6</c:v>
                </c:pt>
                <c:pt idx="210">
                  <c:v>10</c:v>
                </c:pt>
                <c:pt idx="211">
                  <c:v>13</c:v>
                </c:pt>
                <c:pt idx="212">
                  <c:v>0</c:v>
                </c:pt>
                <c:pt idx="213">
                  <c:v>15</c:v>
                </c:pt>
                <c:pt idx="214">
                  <c:v>12</c:v>
                </c:pt>
                <c:pt idx="215">
                  <c:v>2</c:v>
                </c:pt>
                <c:pt idx="216">
                  <c:v>0</c:v>
                </c:pt>
                <c:pt idx="217">
                  <c:v>13</c:v>
                </c:pt>
                <c:pt idx="218">
                  <c:v>3</c:v>
                </c:pt>
                <c:pt idx="219">
                  <c:v>4</c:v>
                </c:pt>
                <c:pt idx="220">
                  <c:v>2</c:v>
                </c:pt>
                <c:pt idx="221">
                  <c:v>0</c:v>
                </c:pt>
                <c:pt idx="222">
                  <c:v>2</c:v>
                </c:pt>
                <c:pt idx="223">
                  <c:v>0</c:v>
                </c:pt>
                <c:pt idx="224">
                  <c:v>0</c:v>
                </c:pt>
                <c:pt idx="225">
                  <c:v>16</c:v>
                </c:pt>
                <c:pt idx="226">
                  <c:v>10</c:v>
                </c:pt>
                <c:pt idx="227">
                  <c:v>2</c:v>
                </c:pt>
                <c:pt idx="228">
                  <c:v>14</c:v>
                </c:pt>
                <c:pt idx="229">
                  <c:v>10</c:v>
                </c:pt>
                <c:pt idx="230">
                  <c:v>14</c:v>
                </c:pt>
                <c:pt idx="231">
                  <c:v>4</c:v>
                </c:pt>
                <c:pt idx="232">
                  <c:v>14</c:v>
                </c:pt>
                <c:pt idx="233">
                  <c:v>2</c:v>
                </c:pt>
                <c:pt idx="234">
                  <c:v>18</c:v>
                </c:pt>
                <c:pt idx="235">
                  <c:v>10</c:v>
                </c:pt>
                <c:pt idx="236">
                  <c:v>4</c:v>
                </c:pt>
                <c:pt idx="237">
                  <c:v>20</c:v>
                </c:pt>
                <c:pt idx="238">
                  <c:v>2</c:v>
                </c:pt>
                <c:pt idx="239">
                  <c:v>0</c:v>
                </c:pt>
                <c:pt idx="240">
                  <c:v>14</c:v>
                </c:pt>
                <c:pt idx="241">
                  <c:v>2</c:v>
                </c:pt>
                <c:pt idx="242">
                  <c:v>0</c:v>
                </c:pt>
                <c:pt idx="243">
                  <c:v>0</c:v>
                </c:pt>
                <c:pt idx="244">
                  <c:v>0</c:v>
                </c:pt>
                <c:pt idx="245">
                  <c:v>6</c:v>
                </c:pt>
                <c:pt idx="246">
                  <c:v>4</c:v>
                </c:pt>
                <c:pt idx="247">
                  <c:v>16</c:v>
                </c:pt>
                <c:pt idx="248">
                  <c:v>8</c:v>
                </c:pt>
                <c:pt idx="249">
                  <c:v>0</c:v>
                </c:pt>
                <c:pt idx="250">
                  <c:v>0</c:v>
                </c:pt>
                <c:pt idx="251">
                  <c:v>6</c:v>
                </c:pt>
                <c:pt idx="252">
                  <c:v>4</c:v>
                </c:pt>
                <c:pt idx="253">
                  <c:v>0</c:v>
                </c:pt>
                <c:pt idx="254">
                  <c:v>0</c:v>
                </c:pt>
                <c:pt idx="255">
                  <c:v>2</c:v>
                </c:pt>
                <c:pt idx="256">
                  <c:v>6</c:v>
                </c:pt>
                <c:pt idx="257">
                  <c:v>12</c:v>
                </c:pt>
                <c:pt idx="258">
                  <c:v>8</c:v>
                </c:pt>
                <c:pt idx="259">
                  <c:v>0</c:v>
                </c:pt>
                <c:pt idx="260">
                  <c:v>21</c:v>
                </c:pt>
                <c:pt idx="261">
                  <c:v>2</c:v>
                </c:pt>
                <c:pt idx="262">
                  <c:v>1</c:v>
                </c:pt>
                <c:pt idx="263">
                  <c:v>4</c:v>
                </c:pt>
                <c:pt idx="264">
                  <c:v>0</c:v>
                </c:pt>
                <c:pt idx="265">
                  <c:v>13</c:v>
                </c:pt>
                <c:pt idx="266">
                  <c:v>2</c:v>
                </c:pt>
                <c:pt idx="267">
                  <c:v>8</c:v>
                </c:pt>
                <c:pt idx="268">
                  <c:v>10</c:v>
                </c:pt>
                <c:pt idx="269">
                  <c:v>0</c:v>
                </c:pt>
                <c:pt idx="270">
                  <c:v>15</c:v>
                </c:pt>
                <c:pt idx="271">
                  <c:v>4</c:v>
                </c:pt>
                <c:pt idx="272">
                  <c:v>2</c:v>
                </c:pt>
                <c:pt idx="273">
                  <c:v>2</c:v>
                </c:pt>
                <c:pt idx="274">
                  <c:v>2</c:v>
                </c:pt>
                <c:pt idx="275">
                  <c:v>0</c:v>
                </c:pt>
                <c:pt idx="276">
                  <c:v>75</c:v>
                </c:pt>
                <c:pt idx="277">
                  <c:v>22</c:v>
                </c:pt>
                <c:pt idx="278">
                  <c:v>15</c:v>
                </c:pt>
                <c:pt idx="279">
                  <c:v>8</c:v>
                </c:pt>
                <c:pt idx="280">
                  <c:v>30</c:v>
                </c:pt>
                <c:pt idx="281">
                  <c:v>19</c:v>
                </c:pt>
                <c:pt idx="282">
                  <c:v>1</c:v>
                </c:pt>
                <c:pt idx="283">
                  <c:v>4</c:v>
                </c:pt>
                <c:pt idx="284">
                  <c:v>4</c:v>
                </c:pt>
                <c:pt idx="285">
                  <c:v>2</c:v>
                </c:pt>
                <c:pt idx="286">
                  <c:v>5</c:v>
                </c:pt>
                <c:pt idx="287">
                  <c:v>0</c:v>
                </c:pt>
                <c:pt idx="288">
                  <c:v>6</c:v>
                </c:pt>
                <c:pt idx="289">
                  <c:v>9</c:v>
                </c:pt>
                <c:pt idx="290">
                  <c:v>11</c:v>
                </c:pt>
                <c:pt idx="291">
                  <c:v>0</c:v>
                </c:pt>
                <c:pt idx="292">
                  <c:v>12</c:v>
                </c:pt>
                <c:pt idx="293">
                  <c:v>6</c:v>
                </c:pt>
                <c:pt idx="294">
                  <c:v>8</c:v>
                </c:pt>
                <c:pt idx="295">
                  <c:v>4</c:v>
                </c:pt>
                <c:pt idx="296">
                  <c:v>0</c:v>
                </c:pt>
                <c:pt idx="297">
                  <c:v>10</c:v>
                </c:pt>
                <c:pt idx="298">
                  <c:v>0</c:v>
                </c:pt>
                <c:pt idx="299">
                  <c:v>5</c:v>
                </c:pt>
                <c:pt idx="300">
                  <c:v>14</c:v>
                </c:pt>
                <c:pt idx="301">
                  <c:v>0</c:v>
                </c:pt>
                <c:pt idx="302">
                  <c:v>0</c:v>
                </c:pt>
                <c:pt idx="303">
                  <c:v>0</c:v>
                </c:pt>
                <c:pt idx="304">
                  <c:v>20</c:v>
                </c:pt>
                <c:pt idx="305">
                  <c:v>8</c:v>
                </c:pt>
                <c:pt idx="306">
                  <c:v>0</c:v>
                </c:pt>
                <c:pt idx="307">
                  <c:v>38</c:v>
                </c:pt>
                <c:pt idx="308">
                  <c:v>0</c:v>
                </c:pt>
                <c:pt idx="309">
                  <c:v>18</c:v>
                </c:pt>
                <c:pt idx="310">
                  <c:v>0</c:v>
                </c:pt>
                <c:pt idx="311">
                  <c:v>20</c:v>
                </c:pt>
                <c:pt idx="312">
                  <c:v>3</c:v>
                </c:pt>
                <c:pt idx="313">
                  <c:v>22</c:v>
                </c:pt>
                <c:pt idx="314">
                  <c:v>14</c:v>
                </c:pt>
                <c:pt idx="315">
                  <c:v>40</c:v>
                </c:pt>
                <c:pt idx="316">
                  <c:v>0</c:v>
                </c:pt>
                <c:pt idx="317">
                  <c:v>9</c:v>
                </c:pt>
                <c:pt idx="318">
                  <c:v>0</c:v>
                </c:pt>
                <c:pt idx="319">
                  <c:v>2</c:v>
                </c:pt>
                <c:pt idx="320">
                  <c:v>23</c:v>
                </c:pt>
                <c:pt idx="321">
                  <c:v>12</c:v>
                </c:pt>
                <c:pt idx="322">
                  <c:v>3</c:v>
                </c:pt>
                <c:pt idx="323">
                  <c:v>1</c:v>
                </c:pt>
                <c:pt idx="324">
                  <c:v>0</c:v>
                </c:pt>
                <c:pt idx="325">
                  <c:v>3</c:v>
                </c:pt>
                <c:pt idx="326">
                  <c:v>3</c:v>
                </c:pt>
                <c:pt idx="327">
                  <c:v>8</c:v>
                </c:pt>
                <c:pt idx="328">
                  <c:v>7</c:v>
                </c:pt>
                <c:pt idx="329">
                  <c:v>4</c:v>
                </c:pt>
                <c:pt idx="330">
                  <c:v>2</c:v>
                </c:pt>
                <c:pt idx="331">
                  <c:v>7</c:v>
                </c:pt>
                <c:pt idx="332">
                  <c:v>0</c:v>
                </c:pt>
                <c:pt idx="333">
                  <c:v>0</c:v>
                </c:pt>
                <c:pt idx="334">
                  <c:v>0</c:v>
                </c:pt>
                <c:pt idx="335">
                  <c:v>16</c:v>
                </c:pt>
                <c:pt idx="336">
                  <c:v>12</c:v>
                </c:pt>
                <c:pt idx="337">
                  <c:v>0</c:v>
                </c:pt>
                <c:pt idx="338">
                  <c:v>7</c:v>
                </c:pt>
                <c:pt idx="339">
                  <c:v>4</c:v>
                </c:pt>
                <c:pt idx="340">
                  <c:v>4</c:v>
                </c:pt>
                <c:pt idx="341">
                  <c:v>0</c:v>
                </c:pt>
                <c:pt idx="342">
                  <c:v>11</c:v>
                </c:pt>
                <c:pt idx="343">
                  <c:v>0</c:v>
                </c:pt>
                <c:pt idx="344">
                  <c:v>4</c:v>
                </c:pt>
                <c:pt idx="345">
                  <c:v>7</c:v>
                </c:pt>
                <c:pt idx="346">
                  <c:v>9</c:v>
                </c:pt>
                <c:pt idx="347">
                  <c:v>0</c:v>
                </c:pt>
                <c:pt idx="348">
                  <c:v>0</c:v>
                </c:pt>
                <c:pt idx="349">
                  <c:v>10</c:v>
                </c:pt>
                <c:pt idx="350">
                  <c:v>8</c:v>
                </c:pt>
                <c:pt idx="351">
                  <c:v>2</c:v>
                </c:pt>
                <c:pt idx="352">
                  <c:v>7</c:v>
                </c:pt>
                <c:pt idx="353">
                  <c:v>4</c:v>
                </c:pt>
                <c:pt idx="354">
                  <c:v>4</c:v>
                </c:pt>
                <c:pt idx="355">
                  <c:v>0</c:v>
                </c:pt>
                <c:pt idx="356">
                  <c:v>4</c:v>
                </c:pt>
                <c:pt idx="357">
                  <c:v>2</c:v>
                </c:pt>
                <c:pt idx="358">
                  <c:v>4</c:v>
                </c:pt>
                <c:pt idx="359">
                  <c:v>0</c:v>
                </c:pt>
                <c:pt idx="360">
                  <c:v>0</c:v>
                </c:pt>
                <c:pt idx="361">
                  <c:v>2</c:v>
                </c:pt>
                <c:pt idx="362">
                  <c:v>0</c:v>
                </c:pt>
                <c:pt idx="363">
                  <c:v>0</c:v>
                </c:pt>
                <c:pt idx="364">
                  <c:v>0</c:v>
                </c:pt>
                <c:pt idx="365">
                  <c:v>4</c:v>
                </c:pt>
                <c:pt idx="366">
                  <c:v>0</c:v>
                </c:pt>
                <c:pt idx="367">
                  <c:v>0</c:v>
                </c:pt>
                <c:pt idx="368">
                  <c:v>0</c:v>
                </c:pt>
                <c:pt idx="369">
                  <c:v>10</c:v>
                </c:pt>
                <c:pt idx="370">
                  <c:v>4</c:v>
                </c:pt>
                <c:pt idx="371">
                  <c:v>3</c:v>
                </c:pt>
                <c:pt idx="372">
                  <c:v>8</c:v>
                </c:pt>
                <c:pt idx="373">
                  <c:v>14</c:v>
                </c:pt>
                <c:pt idx="374">
                  <c:v>0</c:v>
                </c:pt>
                <c:pt idx="375">
                  <c:v>2</c:v>
                </c:pt>
                <c:pt idx="376">
                  <c:v>4</c:v>
                </c:pt>
                <c:pt idx="377">
                  <c:v>4</c:v>
                </c:pt>
                <c:pt idx="378">
                  <c:v>0</c:v>
                </c:pt>
                <c:pt idx="379">
                  <c:v>17</c:v>
                </c:pt>
                <c:pt idx="380">
                  <c:v>4</c:v>
                </c:pt>
                <c:pt idx="381">
                  <c:v>0</c:v>
                </c:pt>
                <c:pt idx="382">
                  <c:v>0</c:v>
                </c:pt>
                <c:pt idx="383">
                  <c:v>0</c:v>
                </c:pt>
                <c:pt idx="384">
                  <c:v>14</c:v>
                </c:pt>
                <c:pt idx="385">
                  <c:v>2</c:v>
                </c:pt>
                <c:pt idx="386">
                  <c:v>7</c:v>
                </c:pt>
                <c:pt idx="387">
                  <c:v>0</c:v>
                </c:pt>
                <c:pt idx="388">
                  <c:v>0</c:v>
                </c:pt>
                <c:pt idx="389">
                  <c:v>0</c:v>
                </c:pt>
                <c:pt idx="390">
                  <c:v>11</c:v>
                </c:pt>
                <c:pt idx="391">
                  <c:v>3</c:v>
                </c:pt>
                <c:pt idx="392">
                  <c:v>3</c:v>
                </c:pt>
                <c:pt idx="393">
                  <c:v>0</c:v>
                </c:pt>
                <c:pt idx="394">
                  <c:v>5</c:v>
                </c:pt>
              </c:numCache>
            </c:numRef>
          </c:xVal>
          <c:yVal>
            <c:numRef>
              <c:f>Analysis!$M$73:$M$468</c:f>
              <c:numCache>
                <c:formatCode>General</c:formatCode>
                <c:ptCount val="396"/>
                <c:pt idx="0">
                  <c:v>6</c:v>
                </c:pt>
                <c:pt idx="1">
                  <c:v>5</c:v>
                </c:pt>
                <c:pt idx="2">
                  <c:v>10</c:v>
                </c:pt>
                <c:pt idx="3">
                  <c:v>15</c:v>
                </c:pt>
                <c:pt idx="4">
                  <c:v>10</c:v>
                </c:pt>
                <c:pt idx="5">
                  <c:v>15</c:v>
                </c:pt>
                <c:pt idx="6">
                  <c:v>11</c:v>
                </c:pt>
                <c:pt idx="7">
                  <c:v>6</c:v>
                </c:pt>
                <c:pt idx="8">
                  <c:v>19</c:v>
                </c:pt>
                <c:pt idx="9">
                  <c:v>15</c:v>
                </c:pt>
                <c:pt idx="10">
                  <c:v>9</c:v>
                </c:pt>
                <c:pt idx="11">
                  <c:v>12</c:v>
                </c:pt>
                <c:pt idx="12">
                  <c:v>14</c:v>
                </c:pt>
                <c:pt idx="13">
                  <c:v>11</c:v>
                </c:pt>
                <c:pt idx="14">
                  <c:v>16</c:v>
                </c:pt>
                <c:pt idx="15">
                  <c:v>14</c:v>
                </c:pt>
                <c:pt idx="16">
                  <c:v>14</c:v>
                </c:pt>
                <c:pt idx="17">
                  <c:v>10</c:v>
                </c:pt>
                <c:pt idx="18">
                  <c:v>5</c:v>
                </c:pt>
                <c:pt idx="19">
                  <c:v>10</c:v>
                </c:pt>
                <c:pt idx="20">
                  <c:v>15</c:v>
                </c:pt>
                <c:pt idx="21">
                  <c:v>15</c:v>
                </c:pt>
                <c:pt idx="22">
                  <c:v>16</c:v>
                </c:pt>
                <c:pt idx="23">
                  <c:v>12</c:v>
                </c:pt>
                <c:pt idx="24">
                  <c:v>8</c:v>
                </c:pt>
                <c:pt idx="25">
                  <c:v>8</c:v>
                </c:pt>
                <c:pt idx="26">
                  <c:v>11</c:v>
                </c:pt>
                <c:pt idx="27">
                  <c:v>15</c:v>
                </c:pt>
                <c:pt idx="28">
                  <c:v>11</c:v>
                </c:pt>
                <c:pt idx="29">
                  <c:v>11</c:v>
                </c:pt>
                <c:pt idx="30">
                  <c:v>12</c:v>
                </c:pt>
                <c:pt idx="31">
                  <c:v>17</c:v>
                </c:pt>
                <c:pt idx="32">
                  <c:v>0</c:v>
                </c:pt>
                <c:pt idx="33">
                  <c:v>12</c:v>
                </c:pt>
                <c:pt idx="34">
                  <c:v>15</c:v>
                </c:pt>
                <c:pt idx="35">
                  <c:v>6</c:v>
                </c:pt>
                <c:pt idx="36">
                  <c:v>18</c:v>
                </c:pt>
                <c:pt idx="37">
                  <c:v>15</c:v>
                </c:pt>
                <c:pt idx="38">
                  <c:v>11</c:v>
                </c:pt>
                <c:pt idx="39">
                  <c:v>13</c:v>
                </c:pt>
                <c:pt idx="40">
                  <c:v>11</c:v>
                </c:pt>
                <c:pt idx="41">
                  <c:v>12</c:v>
                </c:pt>
                <c:pt idx="42">
                  <c:v>18</c:v>
                </c:pt>
                <c:pt idx="43">
                  <c:v>11</c:v>
                </c:pt>
                <c:pt idx="44">
                  <c:v>9</c:v>
                </c:pt>
                <c:pt idx="45">
                  <c:v>6</c:v>
                </c:pt>
                <c:pt idx="46">
                  <c:v>11</c:v>
                </c:pt>
                <c:pt idx="47">
                  <c:v>20</c:v>
                </c:pt>
                <c:pt idx="48">
                  <c:v>14</c:v>
                </c:pt>
                <c:pt idx="49">
                  <c:v>7</c:v>
                </c:pt>
                <c:pt idx="50">
                  <c:v>13</c:v>
                </c:pt>
                <c:pt idx="51">
                  <c:v>13</c:v>
                </c:pt>
                <c:pt idx="52">
                  <c:v>10</c:v>
                </c:pt>
                <c:pt idx="53">
                  <c:v>11</c:v>
                </c:pt>
                <c:pt idx="54">
                  <c:v>13</c:v>
                </c:pt>
                <c:pt idx="55">
                  <c:v>10</c:v>
                </c:pt>
                <c:pt idx="56">
                  <c:v>15</c:v>
                </c:pt>
                <c:pt idx="57">
                  <c:v>15</c:v>
                </c:pt>
                <c:pt idx="58">
                  <c:v>9</c:v>
                </c:pt>
                <c:pt idx="59">
                  <c:v>16</c:v>
                </c:pt>
                <c:pt idx="60">
                  <c:v>11</c:v>
                </c:pt>
                <c:pt idx="61">
                  <c:v>11</c:v>
                </c:pt>
                <c:pt idx="62">
                  <c:v>9</c:v>
                </c:pt>
                <c:pt idx="63">
                  <c:v>9</c:v>
                </c:pt>
                <c:pt idx="64">
                  <c:v>10</c:v>
                </c:pt>
                <c:pt idx="65">
                  <c:v>15</c:v>
                </c:pt>
                <c:pt idx="66">
                  <c:v>12</c:v>
                </c:pt>
                <c:pt idx="67">
                  <c:v>6</c:v>
                </c:pt>
                <c:pt idx="68">
                  <c:v>8</c:v>
                </c:pt>
                <c:pt idx="69">
                  <c:v>16</c:v>
                </c:pt>
                <c:pt idx="70">
                  <c:v>15</c:v>
                </c:pt>
                <c:pt idx="71">
                  <c:v>10</c:v>
                </c:pt>
                <c:pt idx="72">
                  <c:v>5</c:v>
                </c:pt>
                <c:pt idx="73">
                  <c:v>14</c:v>
                </c:pt>
                <c:pt idx="74">
                  <c:v>11</c:v>
                </c:pt>
                <c:pt idx="75">
                  <c:v>10</c:v>
                </c:pt>
                <c:pt idx="76">
                  <c:v>10</c:v>
                </c:pt>
                <c:pt idx="77">
                  <c:v>11</c:v>
                </c:pt>
                <c:pt idx="78">
                  <c:v>10</c:v>
                </c:pt>
                <c:pt idx="79">
                  <c:v>5</c:v>
                </c:pt>
                <c:pt idx="80">
                  <c:v>12</c:v>
                </c:pt>
                <c:pt idx="81">
                  <c:v>11</c:v>
                </c:pt>
                <c:pt idx="82">
                  <c:v>6</c:v>
                </c:pt>
                <c:pt idx="83">
                  <c:v>15</c:v>
                </c:pt>
                <c:pt idx="84">
                  <c:v>9.5</c:v>
                </c:pt>
                <c:pt idx="85">
                  <c:v>8</c:v>
                </c:pt>
                <c:pt idx="86">
                  <c:v>6</c:v>
                </c:pt>
                <c:pt idx="87">
                  <c:v>14</c:v>
                </c:pt>
                <c:pt idx="88">
                  <c:v>10</c:v>
                </c:pt>
                <c:pt idx="89">
                  <c:v>7</c:v>
                </c:pt>
                <c:pt idx="90">
                  <c:v>8</c:v>
                </c:pt>
                <c:pt idx="91">
                  <c:v>18</c:v>
                </c:pt>
                <c:pt idx="92">
                  <c:v>6</c:v>
                </c:pt>
                <c:pt idx="93">
                  <c:v>10</c:v>
                </c:pt>
                <c:pt idx="94">
                  <c:v>14</c:v>
                </c:pt>
                <c:pt idx="95">
                  <c:v>10</c:v>
                </c:pt>
                <c:pt idx="96">
                  <c:v>15</c:v>
                </c:pt>
                <c:pt idx="97">
                  <c:v>10</c:v>
                </c:pt>
                <c:pt idx="98">
                  <c:v>14</c:v>
                </c:pt>
                <c:pt idx="99">
                  <c:v>8</c:v>
                </c:pt>
                <c:pt idx="100">
                  <c:v>5</c:v>
                </c:pt>
                <c:pt idx="101">
                  <c:v>17</c:v>
                </c:pt>
                <c:pt idx="102">
                  <c:v>14</c:v>
                </c:pt>
                <c:pt idx="103">
                  <c:v>6</c:v>
                </c:pt>
                <c:pt idx="104">
                  <c:v>18</c:v>
                </c:pt>
                <c:pt idx="105">
                  <c:v>11</c:v>
                </c:pt>
                <c:pt idx="106">
                  <c:v>8</c:v>
                </c:pt>
                <c:pt idx="107">
                  <c:v>18</c:v>
                </c:pt>
                <c:pt idx="108">
                  <c:v>13</c:v>
                </c:pt>
                <c:pt idx="109">
                  <c:v>16</c:v>
                </c:pt>
                <c:pt idx="110">
                  <c:v>19</c:v>
                </c:pt>
                <c:pt idx="111">
                  <c:v>10</c:v>
                </c:pt>
                <c:pt idx="112">
                  <c:v>13</c:v>
                </c:pt>
                <c:pt idx="113">
                  <c:v>19</c:v>
                </c:pt>
                <c:pt idx="114">
                  <c:v>9</c:v>
                </c:pt>
                <c:pt idx="115">
                  <c:v>16</c:v>
                </c:pt>
                <c:pt idx="116">
                  <c:v>14</c:v>
                </c:pt>
                <c:pt idx="117">
                  <c:v>13</c:v>
                </c:pt>
                <c:pt idx="118">
                  <c:v>8</c:v>
                </c:pt>
                <c:pt idx="119">
                  <c:v>13</c:v>
                </c:pt>
                <c:pt idx="120">
                  <c:v>15</c:v>
                </c:pt>
                <c:pt idx="121">
                  <c:v>15</c:v>
                </c:pt>
                <c:pt idx="122">
                  <c:v>13</c:v>
                </c:pt>
                <c:pt idx="123">
                  <c:v>13</c:v>
                </c:pt>
                <c:pt idx="124">
                  <c:v>8</c:v>
                </c:pt>
                <c:pt idx="125">
                  <c:v>12</c:v>
                </c:pt>
                <c:pt idx="126">
                  <c:v>11</c:v>
                </c:pt>
                <c:pt idx="127">
                  <c:v>9</c:v>
                </c:pt>
                <c:pt idx="128">
                  <c:v>0</c:v>
                </c:pt>
                <c:pt idx="129">
                  <c:v>18</c:v>
                </c:pt>
                <c:pt idx="130">
                  <c:v>0</c:v>
                </c:pt>
                <c:pt idx="131">
                  <c:v>0</c:v>
                </c:pt>
                <c:pt idx="132">
                  <c:v>12</c:v>
                </c:pt>
                <c:pt idx="133">
                  <c:v>11</c:v>
                </c:pt>
                <c:pt idx="134">
                  <c:v>0</c:v>
                </c:pt>
                <c:pt idx="135">
                  <c:v>0</c:v>
                </c:pt>
                <c:pt idx="136">
                  <c:v>0</c:v>
                </c:pt>
                <c:pt idx="137">
                  <c:v>0</c:v>
                </c:pt>
                <c:pt idx="138">
                  <c:v>12</c:v>
                </c:pt>
                <c:pt idx="139">
                  <c:v>15</c:v>
                </c:pt>
                <c:pt idx="140">
                  <c:v>0</c:v>
                </c:pt>
                <c:pt idx="141">
                  <c:v>9</c:v>
                </c:pt>
                <c:pt idx="142">
                  <c:v>11</c:v>
                </c:pt>
                <c:pt idx="143">
                  <c:v>13</c:v>
                </c:pt>
                <c:pt idx="144">
                  <c:v>0</c:v>
                </c:pt>
                <c:pt idx="145">
                  <c:v>11</c:v>
                </c:pt>
                <c:pt idx="146">
                  <c:v>0</c:v>
                </c:pt>
                <c:pt idx="147">
                  <c:v>11</c:v>
                </c:pt>
                <c:pt idx="148">
                  <c:v>0</c:v>
                </c:pt>
                <c:pt idx="149">
                  <c:v>10</c:v>
                </c:pt>
                <c:pt idx="150">
                  <c:v>0</c:v>
                </c:pt>
                <c:pt idx="151">
                  <c:v>14</c:v>
                </c:pt>
                <c:pt idx="152">
                  <c:v>10</c:v>
                </c:pt>
                <c:pt idx="153">
                  <c:v>0</c:v>
                </c:pt>
                <c:pt idx="154">
                  <c:v>12</c:v>
                </c:pt>
                <c:pt idx="155">
                  <c:v>8</c:v>
                </c:pt>
                <c:pt idx="156">
                  <c:v>13</c:v>
                </c:pt>
                <c:pt idx="157">
                  <c:v>10</c:v>
                </c:pt>
                <c:pt idx="158">
                  <c:v>15</c:v>
                </c:pt>
                <c:pt idx="159">
                  <c:v>12</c:v>
                </c:pt>
                <c:pt idx="160">
                  <c:v>0</c:v>
                </c:pt>
                <c:pt idx="161">
                  <c:v>7</c:v>
                </c:pt>
                <c:pt idx="162">
                  <c:v>0</c:v>
                </c:pt>
                <c:pt idx="163">
                  <c:v>10</c:v>
                </c:pt>
                <c:pt idx="164">
                  <c:v>7</c:v>
                </c:pt>
                <c:pt idx="165">
                  <c:v>12</c:v>
                </c:pt>
                <c:pt idx="166">
                  <c:v>10</c:v>
                </c:pt>
                <c:pt idx="167">
                  <c:v>16</c:v>
                </c:pt>
                <c:pt idx="168">
                  <c:v>0</c:v>
                </c:pt>
                <c:pt idx="169">
                  <c:v>14</c:v>
                </c:pt>
                <c:pt idx="170">
                  <c:v>0</c:v>
                </c:pt>
                <c:pt idx="171">
                  <c:v>16</c:v>
                </c:pt>
                <c:pt idx="172">
                  <c:v>10</c:v>
                </c:pt>
                <c:pt idx="173">
                  <c:v>0</c:v>
                </c:pt>
                <c:pt idx="174">
                  <c:v>9</c:v>
                </c:pt>
                <c:pt idx="175">
                  <c:v>9</c:v>
                </c:pt>
                <c:pt idx="176">
                  <c:v>11</c:v>
                </c:pt>
                <c:pt idx="177">
                  <c:v>6</c:v>
                </c:pt>
                <c:pt idx="178">
                  <c:v>9</c:v>
                </c:pt>
                <c:pt idx="179">
                  <c:v>11</c:v>
                </c:pt>
                <c:pt idx="180">
                  <c:v>8</c:v>
                </c:pt>
                <c:pt idx="181">
                  <c:v>12</c:v>
                </c:pt>
                <c:pt idx="182">
                  <c:v>17</c:v>
                </c:pt>
                <c:pt idx="183">
                  <c:v>8</c:v>
                </c:pt>
                <c:pt idx="184">
                  <c:v>12</c:v>
                </c:pt>
                <c:pt idx="185">
                  <c:v>11</c:v>
                </c:pt>
                <c:pt idx="186">
                  <c:v>11</c:v>
                </c:pt>
                <c:pt idx="187">
                  <c:v>15</c:v>
                </c:pt>
                <c:pt idx="188">
                  <c:v>9</c:v>
                </c:pt>
                <c:pt idx="189">
                  <c:v>10</c:v>
                </c:pt>
                <c:pt idx="190">
                  <c:v>13</c:v>
                </c:pt>
                <c:pt idx="191">
                  <c:v>9</c:v>
                </c:pt>
                <c:pt idx="192">
                  <c:v>8</c:v>
                </c:pt>
                <c:pt idx="193">
                  <c:v>10</c:v>
                </c:pt>
                <c:pt idx="194">
                  <c:v>13.5</c:v>
                </c:pt>
                <c:pt idx="195">
                  <c:v>0</c:v>
                </c:pt>
                <c:pt idx="196">
                  <c:v>16</c:v>
                </c:pt>
                <c:pt idx="197">
                  <c:v>0</c:v>
                </c:pt>
                <c:pt idx="198">
                  <c:v>18</c:v>
                </c:pt>
                <c:pt idx="199">
                  <c:v>10</c:v>
                </c:pt>
                <c:pt idx="200">
                  <c:v>16</c:v>
                </c:pt>
                <c:pt idx="201">
                  <c:v>10</c:v>
                </c:pt>
                <c:pt idx="202">
                  <c:v>10</c:v>
                </c:pt>
                <c:pt idx="203">
                  <c:v>6</c:v>
                </c:pt>
                <c:pt idx="204">
                  <c:v>11</c:v>
                </c:pt>
                <c:pt idx="205">
                  <c:v>9</c:v>
                </c:pt>
                <c:pt idx="206">
                  <c:v>7</c:v>
                </c:pt>
                <c:pt idx="207">
                  <c:v>13</c:v>
                </c:pt>
                <c:pt idx="208">
                  <c:v>10</c:v>
                </c:pt>
                <c:pt idx="209">
                  <c:v>7</c:v>
                </c:pt>
                <c:pt idx="210">
                  <c:v>8</c:v>
                </c:pt>
                <c:pt idx="211">
                  <c:v>13</c:v>
                </c:pt>
                <c:pt idx="212">
                  <c:v>14</c:v>
                </c:pt>
                <c:pt idx="213">
                  <c:v>8</c:v>
                </c:pt>
                <c:pt idx="214">
                  <c:v>10</c:v>
                </c:pt>
                <c:pt idx="215">
                  <c:v>15</c:v>
                </c:pt>
                <c:pt idx="216">
                  <c:v>0</c:v>
                </c:pt>
                <c:pt idx="217">
                  <c:v>8</c:v>
                </c:pt>
                <c:pt idx="218">
                  <c:v>8</c:v>
                </c:pt>
                <c:pt idx="219">
                  <c:v>10</c:v>
                </c:pt>
                <c:pt idx="220">
                  <c:v>6</c:v>
                </c:pt>
                <c:pt idx="221">
                  <c:v>0</c:v>
                </c:pt>
                <c:pt idx="222">
                  <c:v>17</c:v>
                </c:pt>
                <c:pt idx="223">
                  <c:v>13</c:v>
                </c:pt>
                <c:pt idx="224">
                  <c:v>14</c:v>
                </c:pt>
                <c:pt idx="225">
                  <c:v>7</c:v>
                </c:pt>
                <c:pt idx="226">
                  <c:v>15</c:v>
                </c:pt>
                <c:pt idx="227">
                  <c:v>12</c:v>
                </c:pt>
                <c:pt idx="228">
                  <c:v>9</c:v>
                </c:pt>
                <c:pt idx="229">
                  <c:v>12</c:v>
                </c:pt>
                <c:pt idx="230">
                  <c:v>14</c:v>
                </c:pt>
                <c:pt idx="231">
                  <c:v>11</c:v>
                </c:pt>
                <c:pt idx="232">
                  <c:v>9</c:v>
                </c:pt>
                <c:pt idx="233">
                  <c:v>13</c:v>
                </c:pt>
                <c:pt idx="234">
                  <c:v>6</c:v>
                </c:pt>
                <c:pt idx="235">
                  <c:v>10</c:v>
                </c:pt>
                <c:pt idx="236">
                  <c:v>13</c:v>
                </c:pt>
                <c:pt idx="237">
                  <c:v>12</c:v>
                </c:pt>
                <c:pt idx="238">
                  <c:v>11</c:v>
                </c:pt>
                <c:pt idx="239">
                  <c:v>0</c:v>
                </c:pt>
                <c:pt idx="240">
                  <c:v>12</c:v>
                </c:pt>
                <c:pt idx="241">
                  <c:v>12</c:v>
                </c:pt>
                <c:pt idx="242">
                  <c:v>0</c:v>
                </c:pt>
                <c:pt idx="243">
                  <c:v>12</c:v>
                </c:pt>
                <c:pt idx="244">
                  <c:v>0</c:v>
                </c:pt>
                <c:pt idx="245">
                  <c:v>18</c:v>
                </c:pt>
                <c:pt idx="246">
                  <c:v>13</c:v>
                </c:pt>
                <c:pt idx="247">
                  <c:v>8</c:v>
                </c:pt>
                <c:pt idx="248">
                  <c:v>5</c:v>
                </c:pt>
                <c:pt idx="249">
                  <c:v>15</c:v>
                </c:pt>
                <c:pt idx="250">
                  <c:v>8</c:v>
                </c:pt>
                <c:pt idx="251">
                  <c:v>10</c:v>
                </c:pt>
                <c:pt idx="252">
                  <c:v>8</c:v>
                </c:pt>
                <c:pt idx="253">
                  <c:v>8</c:v>
                </c:pt>
                <c:pt idx="254">
                  <c:v>12</c:v>
                </c:pt>
                <c:pt idx="255">
                  <c:v>8</c:v>
                </c:pt>
                <c:pt idx="256">
                  <c:v>13</c:v>
                </c:pt>
                <c:pt idx="257">
                  <c:v>11</c:v>
                </c:pt>
                <c:pt idx="258">
                  <c:v>14</c:v>
                </c:pt>
                <c:pt idx="259">
                  <c:v>0</c:v>
                </c:pt>
                <c:pt idx="260">
                  <c:v>18</c:v>
                </c:pt>
                <c:pt idx="261">
                  <c:v>8</c:v>
                </c:pt>
                <c:pt idx="262">
                  <c:v>12</c:v>
                </c:pt>
                <c:pt idx="263">
                  <c:v>9</c:v>
                </c:pt>
                <c:pt idx="264">
                  <c:v>0</c:v>
                </c:pt>
                <c:pt idx="265">
                  <c:v>17</c:v>
                </c:pt>
                <c:pt idx="266">
                  <c:v>10</c:v>
                </c:pt>
                <c:pt idx="267">
                  <c:v>11</c:v>
                </c:pt>
                <c:pt idx="268">
                  <c:v>10</c:v>
                </c:pt>
                <c:pt idx="269">
                  <c:v>0</c:v>
                </c:pt>
                <c:pt idx="270">
                  <c:v>0</c:v>
                </c:pt>
                <c:pt idx="271">
                  <c:v>14</c:v>
                </c:pt>
                <c:pt idx="272">
                  <c:v>11</c:v>
                </c:pt>
                <c:pt idx="273">
                  <c:v>14</c:v>
                </c:pt>
                <c:pt idx="274">
                  <c:v>10</c:v>
                </c:pt>
                <c:pt idx="275">
                  <c:v>12</c:v>
                </c:pt>
                <c:pt idx="276">
                  <c:v>9</c:v>
                </c:pt>
                <c:pt idx="277">
                  <c:v>9</c:v>
                </c:pt>
                <c:pt idx="278">
                  <c:v>8</c:v>
                </c:pt>
                <c:pt idx="279">
                  <c:v>10</c:v>
                </c:pt>
                <c:pt idx="280">
                  <c:v>8</c:v>
                </c:pt>
                <c:pt idx="281">
                  <c:v>10</c:v>
                </c:pt>
                <c:pt idx="282">
                  <c:v>12</c:v>
                </c:pt>
                <c:pt idx="283">
                  <c:v>10</c:v>
                </c:pt>
                <c:pt idx="284">
                  <c:v>11</c:v>
                </c:pt>
                <c:pt idx="285">
                  <c:v>11</c:v>
                </c:pt>
                <c:pt idx="286">
                  <c:v>19</c:v>
                </c:pt>
                <c:pt idx="287">
                  <c:v>12</c:v>
                </c:pt>
                <c:pt idx="288">
                  <c:v>14</c:v>
                </c:pt>
                <c:pt idx="289">
                  <c:v>15</c:v>
                </c:pt>
                <c:pt idx="290">
                  <c:v>11</c:v>
                </c:pt>
                <c:pt idx="291">
                  <c:v>15</c:v>
                </c:pt>
                <c:pt idx="292">
                  <c:v>13</c:v>
                </c:pt>
                <c:pt idx="293">
                  <c:v>18</c:v>
                </c:pt>
                <c:pt idx="294">
                  <c:v>14</c:v>
                </c:pt>
                <c:pt idx="295">
                  <c:v>11</c:v>
                </c:pt>
                <c:pt idx="296">
                  <c:v>0</c:v>
                </c:pt>
                <c:pt idx="297">
                  <c:v>8</c:v>
                </c:pt>
                <c:pt idx="298">
                  <c:v>14</c:v>
                </c:pt>
                <c:pt idx="299">
                  <c:v>16</c:v>
                </c:pt>
                <c:pt idx="300">
                  <c:v>11</c:v>
                </c:pt>
                <c:pt idx="301">
                  <c:v>10</c:v>
                </c:pt>
                <c:pt idx="302">
                  <c:v>14</c:v>
                </c:pt>
                <c:pt idx="303">
                  <c:v>18</c:v>
                </c:pt>
                <c:pt idx="304">
                  <c:v>13</c:v>
                </c:pt>
                <c:pt idx="305">
                  <c:v>0</c:v>
                </c:pt>
                <c:pt idx="306">
                  <c:v>18</c:v>
                </c:pt>
                <c:pt idx="307">
                  <c:v>8</c:v>
                </c:pt>
                <c:pt idx="308">
                  <c:v>12</c:v>
                </c:pt>
                <c:pt idx="309">
                  <c:v>10</c:v>
                </c:pt>
                <c:pt idx="310">
                  <c:v>0</c:v>
                </c:pt>
                <c:pt idx="311">
                  <c:v>13</c:v>
                </c:pt>
                <c:pt idx="312">
                  <c:v>11</c:v>
                </c:pt>
                <c:pt idx="313">
                  <c:v>11</c:v>
                </c:pt>
                <c:pt idx="314">
                  <c:v>13</c:v>
                </c:pt>
                <c:pt idx="315">
                  <c:v>11</c:v>
                </c:pt>
                <c:pt idx="316">
                  <c:v>0</c:v>
                </c:pt>
                <c:pt idx="317">
                  <c:v>9</c:v>
                </c:pt>
                <c:pt idx="318">
                  <c:v>10</c:v>
                </c:pt>
                <c:pt idx="319">
                  <c:v>11</c:v>
                </c:pt>
                <c:pt idx="320">
                  <c:v>13</c:v>
                </c:pt>
                <c:pt idx="321">
                  <c:v>9</c:v>
                </c:pt>
                <c:pt idx="322">
                  <c:v>11</c:v>
                </c:pt>
                <c:pt idx="323">
                  <c:v>15</c:v>
                </c:pt>
                <c:pt idx="324">
                  <c:v>15</c:v>
                </c:pt>
                <c:pt idx="325">
                  <c:v>11</c:v>
                </c:pt>
                <c:pt idx="326">
                  <c:v>16</c:v>
                </c:pt>
                <c:pt idx="327">
                  <c:v>10</c:v>
                </c:pt>
                <c:pt idx="328">
                  <c:v>9</c:v>
                </c:pt>
                <c:pt idx="329">
                  <c:v>14</c:v>
                </c:pt>
                <c:pt idx="330">
                  <c:v>8</c:v>
                </c:pt>
                <c:pt idx="331">
                  <c:v>14</c:v>
                </c:pt>
                <c:pt idx="332">
                  <c:v>0</c:v>
                </c:pt>
                <c:pt idx="333">
                  <c:v>0</c:v>
                </c:pt>
                <c:pt idx="334">
                  <c:v>0</c:v>
                </c:pt>
                <c:pt idx="335">
                  <c:v>15</c:v>
                </c:pt>
                <c:pt idx="336">
                  <c:v>13</c:v>
                </c:pt>
                <c:pt idx="337">
                  <c:v>0</c:v>
                </c:pt>
                <c:pt idx="338">
                  <c:v>17</c:v>
                </c:pt>
                <c:pt idx="339">
                  <c:v>10</c:v>
                </c:pt>
                <c:pt idx="340">
                  <c:v>11</c:v>
                </c:pt>
                <c:pt idx="341">
                  <c:v>0</c:v>
                </c:pt>
                <c:pt idx="342">
                  <c:v>15</c:v>
                </c:pt>
                <c:pt idx="343">
                  <c:v>0</c:v>
                </c:pt>
                <c:pt idx="344">
                  <c:v>10</c:v>
                </c:pt>
                <c:pt idx="345">
                  <c:v>14</c:v>
                </c:pt>
                <c:pt idx="346">
                  <c:v>16</c:v>
                </c:pt>
                <c:pt idx="347">
                  <c:v>9</c:v>
                </c:pt>
                <c:pt idx="348">
                  <c:v>0</c:v>
                </c:pt>
                <c:pt idx="349">
                  <c:v>13</c:v>
                </c:pt>
                <c:pt idx="350">
                  <c:v>8</c:v>
                </c:pt>
                <c:pt idx="351">
                  <c:v>13</c:v>
                </c:pt>
                <c:pt idx="352">
                  <c:v>8</c:v>
                </c:pt>
                <c:pt idx="353">
                  <c:v>8</c:v>
                </c:pt>
                <c:pt idx="354">
                  <c:v>11</c:v>
                </c:pt>
                <c:pt idx="355">
                  <c:v>9</c:v>
                </c:pt>
                <c:pt idx="356">
                  <c:v>13</c:v>
                </c:pt>
                <c:pt idx="357">
                  <c:v>11</c:v>
                </c:pt>
                <c:pt idx="358">
                  <c:v>10</c:v>
                </c:pt>
                <c:pt idx="359">
                  <c:v>16</c:v>
                </c:pt>
                <c:pt idx="360">
                  <c:v>13</c:v>
                </c:pt>
                <c:pt idx="361">
                  <c:v>12</c:v>
                </c:pt>
                <c:pt idx="362">
                  <c:v>10</c:v>
                </c:pt>
                <c:pt idx="363">
                  <c:v>15</c:v>
                </c:pt>
                <c:pt idx="364">
                  <c:v>12</c:v>
                </c:pt>
                <c:pt idx="365">
                  <c:v>10</c:v>
                </c:pt>
                <c:pt idx="366">
                  <c:v>13</c:v>
                </c:pt>
                <c:pt idx="367">
                  <c:v>0</c:v>
                </c:pt>
                <c:pt idx="368">
                  <c:v>10</c:v>
                </c:pt>
                <c:pt idx="369">
                  <c:v>11</c:v>
                </c:pt>
                <c:pt idx="370">
                  <c:v>9</c:v>
                </c:pt>
                <c:pt idx="371">
                  <c:v>12</c:v>
                </c:pt>
                <c:pt idx="372">
                  <c:v>11</c:v>
                </c:pt>
                <c:pt idx="373">
                  <c:v>5</c:v>
                </c:pt>
                <c:pt idx="374">
                  <c:v>19</c:v>
                </c:pt>
                <c:pt idx="375">
                  <c:v>10</c:v>
                </c:pt>
                <c:pt idx="376">
                  <c:v>15</c:v>
                </c:pt>
                <c:pt idx="377">
                  <c:v>10</c:v>
                </c:pt>
                <c:pt idx="378">
                  <c:v>15</c:v>
                </c:pt>
                <c:pt idx="379">
                  <c:v>10</c:v>
                </c:pt>
                <c:pt idx="380">
                  <c:v>14</c:v>
                </c:pt>
                <c:pt idx="381">
                  <c:v>7</c:v>
                </c:pt>
                <c:pt idx="382">
                  <c:v>10</c:v>
                </c:pt>
                <c:pt idx="383">
                  <c:v>0</c:v>
                </c:pt>
                <c:pt idx="384">
                  <c:v>5</c:v>
                </c:pt>
                <c:pt idx="385">
                  <c:v>10</c:v>
                </c:pt>
                <c:pt idx="386">
                  <c:v>6</c:v>
                </c:pt>
                <c:pt idx="387">
                  <c:v>0</c:v>
                </c:pt>
                <c:pt idx="388">
                  <c:v>8</c:v>
                </c:pt>
                <c:pt idx="389">
                  <c:v>0</c:v>
                </c:pt>
                <c:pt idx="390">
                  <c:v>9</c:v>
                </c:pt>
                <c:pt idx="391">
                  <c:v>16</c:v>
                </c:pt>
                <c:pt idx="392">
                  <c:v>7</c:v>
                </c:pt>
                <c:pt idx="393">
                  <c:v>10</c:v>
                </c:pt>
                <c:pt idx="394">
                  <c:v>9</c:v>
                </c:pt>
              </c:numCache>
            </c:numRef>
          </c:yVal>
          <c:smooth val="0"/>
          <c:extLst>
            <c:ext xmlns:c16="http://schemas.microsoft.com/office/drawing/2014/chart" uri="{C3380CC4-5D6E-409C-BE32-E72D297353CC}">
              <c16:uniqueId val="{00000001-B9C2-4DA3-B9EF-926CB83BD681}"/>
            </c:ext>
          </c:extLst>
        </c:ser>
        <c:dLbls>
          <c:showLegendKey val="0"/>
          <c:showVal val="0"/>
          <c:showCatName val="0"/>
          <c:showSerName val="0"/>
          <c:showPercent val="0"/>
          <c:showBubbleSize val="0"/>
        </c:dLbls>
        <c:axId val="1647984448"/>
        <c:axId val="1647981088"/>
      </c:scatterChart>
      <c:valAx>
        <c:axId val="1647984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Number</a:t>
                </a:r>
                <a:r>
                  <a:rPr lang="en-ID" baseline="0"/>
                  <a:t> Of Absences</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81088"/>
        <c:crosses val="autoZero"/>
        <c:crossBetween val="midCat"/>
      </c:valAx>
      <c:valAx>
        <c:axId val="1647981088"/>
        <c:scaling>
          <c:orientation val="minMax"/>
          <c:max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Final</a:t>
                </a:r>
                <a:r>
                  <a:rPr lang="en-ID" baseline="0"/>
                  <a:t> Grade (0-20)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844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[S426 Clean Final (1).xlsx]Pivot_Source!PivotTable16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Pivot_Source!$B$2</c:f>
              <c:strCache>
                <c:ptCount val="1"/>
                <c:pt idx="0">
                  <c:v>Average Final Grade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Pivot_Source!$A$3:$A$5</c:f>
              <c:strCache>
                <c:ptCount val="2"/>
                <c:pt idx="0">
                  <c:v>F</c:v>
                </c:pt>
                <c:pt idx="1">
                  <c:v>M</c:v>
                </c:pt>
              </c:strCache>
            </c:strRef>
          </c:cat>
          <c:val>
            <c:numRef>
              <c:f>Pivot_Source!$B$3:$B$5</c:f>
              <c:numCache>
                <c:formatCode>0.0</c:formatCode>
                <c:ptCount val="2"/>
                <c:pt idx="0">
                  <c:v>9.8522167487684733</c:v>
                </c:pt>
                <c:pt idx="1">
                  <c:v>10.869565217391305</c:v>
                </c:pt>
              </c:numCache>
            </c:numRef>
          </c:val>
          <c:extLst>
            <c:ext xmlns:c16="http://schemas.microsoft.com/office/drawing/2014/chart" uri="{C3380CC4-5D6E-409C-BE32-E72D297353CC}">
              <c16:uniqueId val="{00000000-B177-467C-8E3A-25C500218104}"/>
            </c:ext>
          </c:extLst>
        </c:ser>
        <c:ser>
          <c:idx val="1"/>
          <c:order val="1"/>
          <c:tx>
            <c:strRef>
              <c:f>Pivot_Source!$C$2</c:f>
              <c:strCache>
                <c:ptCount val="1"/>
                <c:pt idx="0">
                  <c:v>Pass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Pivot_Source!$A$3:$A$5</c:f>
              <c:strCache>
                <c:ptCount val="2"/>
                <c:pt idx="0">
                  <c:v>F</c:v>
                </c:pt>
                <c:pt idx="1">
                  <c:v>M</c:v>
                </c:pt>
              </c:strCache>
            </c:strRef>
          </c:cat>
          <c:val>
            <c:numRef>
              <c:f>Pivot_Source!$C$3:$C$5</c:f>
              <c:numCache>
                <c:formatCode>0.00%;\-0.00%;0.00%</c:formatCode>
                <c:ptCount val="2"/>
                <c:pt idx="0">
                  <c:v>0.48076923076923078</c:v>
                </c:pt>
                <c:pt idx="1">
                  <c:v>0.55614973262032086</c:v>
                </c:pt>
              </c:numCache>
            </c:numRef>
          </c:val>
          <c:extLst>
            <c:ext xmlns:c16="http://schemas.microsoft.com/office/drawing/2014/chart" uri="{C3380CC4-5D6E-409C-BE32-E72D297353CC}">
              <c16:uniqueId val="{00000001-B177-467C-8E3A-25C500218104}"/>
            </c:ext>
          </c:extLst>
        </c:ser>
        <c:ser>
          <c:idx val="2"/>
          <c:order val="2"/>
          <c:tx>
            <c:strRef>
              <c:f>Pivot_Source!$D$2</c:f>
              <c:strCache>
                <c:ptCount val="1"/>
                <c:pt idx="0">
                  <c:v>Grade Ratio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Pivot_Source!$A$3:$A$5</c:f>
              <c:strCache>
                <c:ptCount val="2"/>
                <c:pt idx="0">
                  <c:v>F</c:v>
                </c:pt>
                <c:pt idx="1">
                  <c:v>M</c:v>
                </c:pt>
              </c:strCache>
            </c:strRef>
          </c:cat>
          <c:val>
            <c:numRef>
              <c:f>Pivot_Source!$D$3:$D$5</c:f>
              <c:numCache>
                <c:formatCode>0.00%;\-0.00%;0.00%</c:formatCode>
                <c:ptCount val="2"/>
                <c:pt idx="0">
                  <c:v>0.49029126213592233</c:v>
                </c:pt>
                <c:pt idx="1">
                  <c:v>0.54270270270270271</c:v>
                </c:pt>
              </c:numCache>
            </c:numRef>
          </c:val>
          <c:extLst>
            <c:ext xmlns:c16="http://schemas.microsoft.com/office/drawing/2014/chart" uri="{C3380CC4-5D6E-409C-BE32-E72D297353CC}">
              <c16:uniqueId val="{00000002-B177-467C-8E3A-25C500218104}"/>
            </c:ext>
          </c:extLst>
        </c:ser>
        <c:dLbls>
          <c:dLblPos val="outEnd"/>
          <c:showLegendKey val="0"/>
          <c:showVal val="1"/>
          <c:showCatName val="0"/>
          <c:showSerName val="0"/>
          <c:showPercent val="0"/>
          <c:showBubbleSize val="0"/>
        </c:dLbls>
        <c:gapWidth val="182"/>
        <c:axId val="1647929728"/>
        <c:axId val="1647948928"/>
      </c:barChart>
      <c:catAx>
        <c:axId val="164792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48928"/>
        <c:crosses val="autoZero"/>
        <c:auto val="1"/>
        <c:lblAlgn val="ctr"/>
        <c:lblOffset val="100"/>
        <c:noMultiLvlLbl val="0"/>
      </c:catAx>
      <c:valAx>
        <c:axId val="164794892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2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[S426 Clean Final (1).xlsx]Pivot_Source!PivotTable17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Pivot_Source!$G$2</c:f>
              <c:strCache>
                <c:ptCount val="1"/>
                <c:pt idx="0">
                  <c:v>Average Final Grade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Pivot_Source!$F$3:$F$8</c:f>
              <c:multiLvlStrCache>
                <c:ptCount val="4"/>
                <c:lvl>
                  <c:pt idx="0">
                    <c:v>15-16</c:v>
                  </c:pt>
                  <c:pt idx="1">
                    <c:v>17-18</c:v>
                  </c:pt>
                  <c:pt idx="2">
                    <c:v>19-20</c:v>
                  </c:pt>
                  <c:pt idx="3">
                    <c:v>21-22</c:v>
                  </c:pt>
                </c:lvl>
                <c:lvl>
                  <c:pt idx="0">
                    <c:v>Rural</c:v>
                  </c:pt>
                </c:lvl>
              </c:multiLvlStrCache>
            </c:multiLvlStrRef>
          </c:cat>
          <c:val>
            <c:numRef>
              <c:f>Pivot_Source!$G$3:$G$8</c:f>
              <c:numCache>
                <c:formatCode>0.0</c:formatCode>
                <c:ptCount val="4"/>
                <c:pt idx="0">
                  <c:v>10</c:v>
                </c:pt>
                <c:pt idx="1">
                  <c:v>9.5</c:v>
                </c:pt>
                <c:pt idx="2">
                  <c:v>7.4285714285714288</c:v>
                </c:pt>
                <c:pt idx="3">
                  <c:v>7</c:v>
                </c:pt>
              </c:numCache>
            </c:numRef>
          </c:val>
          <c:extLst>
            <c:ext xmlns:c16="http://schemas.microsoft.com/office/drawing/2014/chart" uri="{C3380CC4-5D6E-409C-BE32-E72D297353CC}">
              <c16:uniqueId val="{00000000-E3A5-49F2-B005-4A024A023E6D}"/>
            </c:ext>
          </c:extLst>
        </c:ser>
        <c:ser>
          <c:idx val="1"/>
          <c:order val="1"/>
          <c:tx>
            <c:strRef>
              <c:f>Pivot_Source!$H$2</c:f>
              <c:strCache>
                <c:ptCount val="1"/>
                <c:pt idx="0">
                  <c:v>High Absentee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Pivot_Source!$F$3:$F$8</c:f>
              <c:multiLvlStrCache>
                <c:ptCount val="4"/>
                <c:lvl>
                  <c:pt idx="0">
                    <c:v>15-16</c:v>
                  </c:pt>
                  <c:pt idx="1">
                    <c:v>17-18</c:v>
                  </c:pt>
                  <c:pt idx="2">
                    <c:v>19-20</c:v>
                  </c:pt>
                  <c:pt idx="3">
                    <c:v>21-22</c:v>
                  </c:pt>
                </c:lvl>
                <c:lvl>
                  <c:pt idx="0">
                    <c:v>Rural</c:v>
                  </c:pt>
                </c:lvl>
              </c:multiLvlStrCache>
            </c:multiLvlStrRef>
          </c:cat>
          <c:val>
            <c:numRef>
              <c:f>Pivot_Source!$H$3:$H$8</c:f>
              <c:numCache>
                <c:formatCode>General</c:formatCode>
                <c:ptCount val="4"/>
                <c:pt idx="1">
                  <c:v>1</c:v>
                </c:pt>
                <c:pt idx="2">
                  <c:v>1</c:v>
                </c:pt>
              </c:numCache>
            </c:numRef>
          </c:val>
          <c:extLst>
            <c:ext xmlns:c16="http://schemas.microsoft.com/office/drawing/2014/chart" uri="{C3380CC4-5D6E-409C-BE32-E72D297353CC}">
              <c16:uniqueId val="{00000001-E3A5-49F2-B005-4A024A023E6D}"/>
            </c:ext>
          </c:extLst>
        </c:ser>
        <c:dLbls>
          <c:dLblPos val="outEnd"/>
          <c:showLegendKey val="0"/>
          <c:showVal val="1"/>
          <c:showCatName val="0"/>
          <c:showSerName val="0"/>
          <c:showPercent val="0"/>
          <c:showBubbleSize val="0"/>
        </c:dLbls>
        <c:gapWidth val="219"/>
        <c:overlap val="-27"/>
        <c:axId val="1647945568"/>
        <c:axId val="1647956608"/>
      </c:barChart>
      <c:catAx>
        <c:axId val="164794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56608"/>
        <c:crosses val="autoZero"/>
        <c:auto val="1"/>
        <c:lblAlgn val="ctr"/>
        <c:lblOffset val="100"/>
        <c:noMultiLvlLbl val="0"/>
      </c:catAx>
      <c:valAx>
        <c:axId val="16479566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4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[S426 Clean Final (1).xlsx]Pivot_Source!PivotTable18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Pivot_Source!$K$2</c:f>
              <c:strCache>
                <c:ptCount val="1"/>
                <c:pt idx="0">
                  <c:v>Average Final Grade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Pivot_Source!$J$3:$J$4</c:f>
              <c:strCache>
                <c:ptCount val="1"/>
                <c:pt idx="0">
                  <c:v>father</c:v>
                </c:pt>
              </c:strCache>
            </c:strRef>
          </c:cat>
          <c:val>
            <c:numRef>
              <c:f>Pivot_Source!$K$3:$K$4</c:f>
              <c:numCache>
                <c:formatCode>0.0</c:formatCode>
                <c:ptCount val="1"/>
                <c:pt idx="0">
                  <c:v>10.39080459770115</c:v>
                </c:pt>
              </c:numCache>
            </c:numRef>
          </c:val>
          <c:extLst>
            <c:ext xmlns:c16="http://schemas.microsoft.com/office/drawing/2014/chart" uri="{C3380CC4-5D6E-409C-BE32-E72D297353CC}">
              <c16:uniqueId val="{00000000-B378-4669-9F2C-0CF0E0F75C94}"/>
            </c:ext>
          </c:extLst>
        </c:ser>
        <c:ser>
          <c:idx val="1"/>
          <c:order val="1"/>
          <c:tx>
            <c:strRef>
              <c:f>Pivot_Source!$L$2</c:f>
              <c:strCache>
                <c:ptCount val="1"/>
                <c:pt idx="0">
                  <c:v>Pass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Pivot_Source!$J$3:$J$4</c:f>
              <c:strCache>
                <c:ptCount val="1"/>
                <c:pt idx="0">
                  <c:v>father</c:v>
                </c:pt>
              </c:strCache>
            </c:strRef>
          </c:cat>
          <c:val>
            <c:numRef>
              <c:f>Pivot_Source!$L$3:$L$4</c:f>
              <c:numCache>
                <c:formatCode>0.00%;\-0.00%;0.00%</c:formatCode>
                <c:ptCount val="1"/>
                <c:pt idx="0">
                  <c:v>0.52222222222222225</c:v>
                </c:pt>
              </c:numCache>
            </c:numRef>
          </c:val>
          <c:extLst>
            <c:ext xmlns:c16="http://schemas.microsoft.com/office/drawing/2014/chart" uri="{C3380CC4-5D6E-409C-BE32-E72D297353CC}">
              <c16:uniqueId val="{00000001-B378-4669-9F2C-0CF0E0F75C94}"/>
            </c:ext>
          </c:extLst>
        </c:ser>
        <c:dLbls>
          <c:dLblPos val="outEnd"/>
          <c:showLegendKey val="0"/>
          <c:showVal val="1"/>
          <c:showCatName val="0"/>
          <c:showSerName val="0"/>
          <c:showPercent val="0"/>
          <c:showBubbleSize val="0"/>
        </c:dLbls>
        <c:gapWidth val="182"/>
        <c:axId val="957583792"/>
        <c:axId val="957579472"/>
      </c:barChart>
      <c:catAx>
        <c:axId val="95758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79472"/>
        <c:crosses val="autoZero"/>
        <c:auto val="1"/>
        <c:lblAlgn val="ctr"/>
        <c:lblOffset val="100"/>
        <c:noMultiLvlLbl val="0"/>
      </c:catAx>
      <c:valAx>
        <c:axId val="95757947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8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[S426 Clean Final (1).xlsx]Pivot_Source!PivotTable22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Pivot_Source!$Q$2</c:f>
              <c:strCache>
                <c:ptCount val="1"/>
                <c:pt idx="0">
                  <c:v>Average Final Grade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Pivot_Source!$P$3:$P$5</c:f>
              <c:strCache>
                <c:ptCount val="2"/>
                <c:pt idx="0">
                  <c:v>Apart</c:v>
                </c:pt>
                <c:pt idx="1">
                  <c:v>Living together</c:v>
                </c:pt>
              </c:strCache>
            </c:strRef>
          </c:cat>
          <c:val>
            <c:numRef>
              <c:f>Pivot_Source!$Q$3:$Q$5</c:f>
              <c:numCache>
                <c:formatCode>0.0</c:formatCode>
                <c:ptCount val="2"/>
                <c:pt idx="0">
                  <c:v>8</c:v>
                </c:pt>
                <c:pt idx="1">
                  <c:v>10.506024096385541</c:v>
                </c:pt>
              </c:numCache>
            </c:numRef>
          </c:val>
          <c:extLst>
            <c:ext xmlns:c16="http://schemas.microsoft.com/office/drawing/2014/chart" uri="{C3380CC4-5D6E-409C-BE32-E72D297353CC}">
              <c16:uniqueId val="{00000000-50AB-46CE-B606-7EAEA97FDEDD}"/>
            </c:ext>
          </c:extLst>
        </c:ser>
        <c:ser>
          <c:idx val="1"/>
          <c:order val="1"/>
          <c:tx>
            <c:strRef>
              <c:f>Pivot_Source!$R$2</c:f>
              <c:strCache>
                <c:ptCount val="1"/>
                <c:pt idx="0">
                  <c:v>Pass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Pivot_Source!$P$3:$P$5</c:f>
              <c:strCache>
                <c:ptCount val="2"/>
                <c:pt idx="0">
                  <c:v>Apart</c:v>
                </c:pt>
                <c:pt idx="1">
                  <c:v>Living together</c:v>
                </c:pt>
              </c:strCache>
            </c:strRef>
          </c:cat>
          <c:val>
            <c:numRef>
              <c:f>Pivot_Source!$R$3:$R$5</c:f>
              <c:numCache>
                <c:formatCode>0.00%;\-0.00%;0.00%</c:formatCode>
                <c:ptCount val="2"/>
                <c:pt idx="0">
                  <c:v>0.5</c:v>
                </c:pt>
                <c:pt idx="1">
                  <c:v>0.52325581395348841</c:v>
                </c:pt>
              </c:numCache>
            </c:numRef>
          </c:val>
          <c:extLst>
            <c:ext xmlns:c16="http://schemas.microsoft.com/office/drawing/2014/chart" uri="{C3380CC4-5D6E-409C-BE32-E72D297353CC}">
              <c16:uniqueId val="{00000001-50AB-46CE-B606-7EAEA97FDEDD}"/>
            </c:ext>
          </c:extLst>
        </c:ser>
        <c:dLbls>
          <c:dLblPos val="outEnd"/>
          <c:showLegendKey val="0"/>
          <c:showVal val="1"/>
          <c:showCatName val="0"/>
          <c:showSerName val="0"/>
          <c:showPercent val="0"/>
          <c:showBubbleSize val="0"/>
        </c:dLbls>
        <c:gapWidth val="182"/>
        <c:axId val="907085295"/>
        <c:axId val="907089615"/>
      </c:barChart>
      <c:catAx>
        <c:axId val="90708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89615"/>
        <c:crosses val="autoZero"/>
        <c:auto val="1"/>
        <c:lblAlgn val="ctr"/>
        <c:lblOffset val="100"/>
        <c:noMultiLvlLbl val="0"/>
      </c:catAx>
      <c:valAx>
        <c:axId val="90708961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8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[S426 Clean Final (1).xlsx]Pivot_Source!PivotTable16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Pivot_Source!$B$2</c:f>
              <c:strCache>
                <c:ptCount val="1"/>
                <c:pt idx="0">
                  <c:v>Average Final Grade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Pivot_Source!$A$3:$A$5</c:f>
              <c:strCache>
                <c:ptCount val="2"/>
                <c:pt idx="0">
                  <c:v>F</c:v>
                </c:pt>
                <c:pt idx="1">
                  <c:v>M</c:v>
                </c:pt>
              </c:strCache>
            </c:strRef>
          </c:cat>
          <c:val>
            <c:numRef>
              <c:f>Pivot_Source!$B$3:$B$5</c:f>
              <c:numCache>
                <c:formatCode>0.0</c:formatCode>
                <c:ptCount val="2"/>
                <c:pt idx="0">
                  <c:v>9.8522167487684733</c:v>
                </c:pt>
                <c:pt idx="1">
                  <c:v>10.869565217391305</c:v>
                </c:pt>
              </c:numCache>
            </c:numRef>
          </c:val>
          <c:extLst>
            <c:ext xmlns:c16="http://schemas.microsoft.com/office/drawing/2014/chart" uri="{C3380CC4-5D6E-409C-BE32-E72D297353CC}">
              <c16:uniqueId val="{00000000-372E-4B7D-8272-A2FA5A95862E}"/>
            </c:ext>
          </c:extLst>
        </c:ser>
        <c:ser>
          <c:idx val="1"/>
          <c:order val="1"/>
          <c:tx>
            <c:strRef>
              <c:f>Pivot_Source!$C$2</c:f>
              <c:strCache>
                <c:ptCount val="1"/>
                <c:pt idx="0">
                  <c:v>Pass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Pivot_Source!$A$3:$A$5</c:f>
              <c:strCache>
                <c:ptCount val="2"/>
                <c:pt idx="0">
                  <c:v>F</c:v>
                </c:pt>
                <c:pt idx="1">
                  <c:v>M</c:v>
                </c:pt>
              </c:strCache>
            </c:strRef>
          </c:cat>
          <c:val>
            <c:numRef>
              <c:f>Pivot_Source!$C$3:$C$5</c:f>
              <c:numCache>
                <c:formatCode>0.00%;\-0.00%;0.00%</c:formatCode>
                <c:ptCount val="2"/>
                <c:pt idx="0">
                  <c:v>0.48076923076923078</c:v>
                </c:pt>
                <c:pt idx="1">
                  <c:v>0.55614973262032086</c:v>
                </c:pt>
              </c:numCache>
            </c:numRef>
          </c:val>
          <c:extLst>
            <c:ext xmlns:c16="http://schemas.microsoft.com/office/drawing/2014/chart" uri="{C3380CC4-5D6E-409C-BE32-E72D297353CC}">
              <c16:uniqueId val="{00000001-372E-4B7D-8272-A2FA5A95862E}"/>
            </c:ext>
          </c:extLst>
        </c:ser>
        <c:ser>
          <c:idx val="2"/>
          <c:order val="2"/>
          <c:tx>
            <c:strRef>
              <c:f>Pivot_Source!$D$2</c:f>
              <c:strCache>
                <c:ptCount val="1"/>
                <c:pt idx="0">
                  <c:v>Grade Ratio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Pivot_Source!$A$3:$A$5</c:f>
              <c:strCache>
                <c:ptCount val="2"/>
                <c:pt idx="0">
                  <c:v>F</c:v>
                </c:pt>
                <c:pt idx="1">
                  <c:v>M</c:v>
                </c:pt>
              </c:strCache>
            </c:strRef>
          </c:cat>
          <c:val>
            <c:numRef>
              <c:f>Pivot_Source!$D$3:$D$5</c:f>
              <c:numCache>
                <c:formatCode>0.00%;\-0.00%;0.00%</c:formatCode>
                <c:ptCount val="2"/>
                <c:pt idx="0">
                  <c:v>0.49029126213592233</c:v>
                </c:pt>
                <c:pt idx="1">
                  <c:v>0.54270270270270271</c:v>
                </c:pt>
              </c:numCache>
            </c:numRef>
          </c:val>
          <c:extLst>
            <c:ext xmlns:c16="http://schemas.microsoft.com/office/drawing/2014/chart" uri="{C3380CC4-5D6E-409C-BE32-E72D297353CC}">
              <c16:uniqueId val="{00000003-372E-4B7D-8272-A2FA5A95862E}"/>
            </c:ext>
          </c:extLst>
        </c:ser>
        <c:dLbls>
          <c:dLblPos val="outEnd"/>
          <c:showLegendKey val="0"/>
          <c:showVal val="1"/>
          <c:showCatName val="0"/>
          <c:showSerName val="0"/>
          <c:showPercent val="0"/>
          <c:showBubbleSize val="0"/>
        </c:dLbls>
        <c:gapWidth val="182"/>
        <c:axId val="1647929728"/>
        <c:axId val="1647948928"/>
      </c:barChart>
      <c:catAx>
        <c:axId val="164792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48928"/>
        <c:crosses val="autoZero"/>
        <c:auto val="1"/>
        <c:lblAlgn val="ctr"/>
        <c:lblOffset val="100"/>
        <c:noMultiLvlLbl val="0"/>
      </c:catAx>
      <c:valAx>
        <c:axId val="164794892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2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[S426 Clean Final (1).xlsx]Pivot_Source!PivotTable17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Pivot_Source!$G$2</c:f>
              <c:strCache>
                <c:ptCount val="1"/>
                <c:pt idx="0">
                  <c:v>Average Final Grade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Pivot_Source!$F$3:$F$8</c:f>
              <c:multiLvlStrCache>
                <c:ptCount val="4"/>
                <c:lvl>
                  <c:pt idx="0">
                    <c:v>15-16</c:v>
                  </c:pt>
                  <c:pt idx="1">
                    <c:v>17-18</c:v>
                  </c:pt>
                  <c:pt idx="2">
                    <c:v>19-20</c:v>
                  </c:pt>
                  <c:pt idx="3">
                    <c:v>21-22</c:v>
                  </c:pt>
                </c:lvl>
                <c:lvl>
                  <c:pt idx="0">
                    <c:v>Rural</c:v>
                  </c:pt>
                </c:lvl>
              </c:multiLvlStrCache>
            </c:multiLvlStrRef>
          </c:cat>
          <c:val>
            <c:numRef>
              <c:f>Pivot_Source!$G$3:$G$8</c:f>
              <c:numCache>
                <c:formatCode>0.0</c:formatCode>
                <c:ptCount val="4"/>
                <c:pt idx="0">
                  <c:v>10</c:v>
                </c:pt>
                <c:pt idx="1">
                  <c:v>9.5</c:v>
                </c:pt>
                <c:pt idx="2">
                  <c:v>7.4285714285714288</c:v>
                </c:pt>
                <c:pt idx="3">
                  <c:v>7</c:v>
                </c:pt>
              </c:numCache>
            </c:numRef>
          </c:val>
          <c:extLst>
            <c:ext xmlns:c16="http://schemas.microsoft.com/office/drawing/2014/chart" uri="{C3380CC4-5D6E-409C-BE32-E72D297353CC}">
              <c16:uniqueId val="{00000000-29B9-46E1-80B3-965C145A9128}"/>
            </c:ext>
          </c:extLst>
        </c:ser>
        <c:ser>
          <c:idx val="1"/>
          <c:order val="1"/>
          <c:tx>
            <c:strRef>
              <c:f>Pivot_Source!$H$2</c:f>
              <c:strCache>
                <c:ptCount val="1"/>
                <c:pt idx="0">
                  <c:v>High Absentee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Pivot_Source!$F$3:$F$8</c:f>
              <c:multiLvlStrCache>
                <c:ptCount val="4"/>
                <c:lvl>
                  <c:pt idx="0">
                    <c:v>15-16</c:v>
                  </c:pt>
                  <c:pt idx="1">
                    <c:v>17-18</c:v>
                  </c:pt>
                  <c:pt idx="2">
                    <c:v>19-20</c:v>
                  </c:pt>
                  <c:pt idx="3">
                    <c:v>21-22</c:v>
                  </c:pt>
                </c:lvl>
                <c:lvl>
                  <c:pt idx="0">
                    <c:v>Rural</c:v>
                  </c:pt>
                </c:lvl>
              </c:multiLvlStrCache>
            </c:multiLvlStrRef>
          </c:cat>
          <c:val>
            <c:numRef>
              <c:f>Pivot_Source!$H$3:$H$8</c:f>
              <c:numCache>
                <c:formatCode>General</c:formatCode>
                <c:ptCount val="4"/>
                <c:pt idx="1">
                  <c:v>1</c:v>
                </c:pt>
                <c:pt idx="2">
                  <c:v>1</c:v>
                </c:pt>
              </c:numCache>
            </c:numRef>
          </c:val>
          <c:extLst>
            <c:ext xmlns:c16="http://schemas.microsoft.com/office/drawing/2014/chart" uri="{C3380CC4-5D6E-409C-BE32-E72D297353CC}">
              <c16:uniqueId val="{00000001-29B9-46E1-80B3-965C145A9128}"/>
            </c:ext>
          </c:extLst>
        </c:ser>
        <c:dLbls>
          <c:dLblPos val="outEnd"/>
          <c:showLegendKey val="0"/>
          <c:showVal val="1"/>
          <c:showCatName val="0"/>
          <c:showSerName val="0"/>
          <c:showPercent val="0"/>
          <c:showBubbleSize val="0"/>
        </c:dLbls>
        <c:gapWidth val="219"/>
        <c:overlap val="-27"/>
        <c:axId val="1647945568"/>
        <c:axId val="1647956608"/>
      </c:barChart>
      <c:catAx>
        <c:axId val="164794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56608"/>
        <c:crosses val="autoZero"/>
        <c:auto val="1"/>
        <c:lblAlgn val="ctr"/>
        <c:lblOffset val="100"/>
        <c:noMultiLvlLbl val="0"/>
      </c:catAx>
      <c:valAx>
        <c:axId val="16479566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4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[S426 Clean Final (1).xlsx]Pivot_Source!PivotTable18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Pivot_Source!$K$2</c:f>
              <c:strCache>
                <c:ptCount val="1"/>
                <c:pt idx="0">
                  <c:v>Average Final Grade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Pivot_Source!$J$3:$J$4</c:f>
              <c:strCache>
                <c:ptCount val="1"/>
                <c:pt idx="0">
                  <c:v>father</c:v>
                </c:pt>
              </c:strCache>
            </c:strRef>
          </c:cat>
          <c:val>
            <c:numRef>
              <c:f>Pivot_Source!$K$3:$K$4</c:f>
              <c:numCache>
                <c:formatCode>0.0</c:formatCode>
                <c:ptCount val="1"/>
                <c:pt idx="0">
                  <c:v>10.39080459770115</c:v>
                </c:pt>
              </c:numCache>
            </c:numRef>
          </c:val>
          <c:extLst>
            <c:ext xmlns:c16="http://schemas.microsoft.com/office/drawing/2014/chart" uri="{C3380CC4-5D6E-409C-BE32-E72D297353CC}">
              <c16:uniqueId val="{00000000-2E63-414F-AC66-84562A8F8461}"/>
            </c:ext>
          </c:extLst>
        </c:ser>
        <c:ser>
          <c:idx val="1"/>
          <c:order val="1"/>
          <c:tx>
            <c:strRef>
              <c:f>Pivot_Source!$L$2</c:f>
              <c:strCache>
                <c:ptCount val="1"/>
                <c:pt idx="0">
                  <c:v>Pass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Pivot_Source!$J$3:$J$4</c:f>
              <c:strCache>
                <c:ptCount val="1"/>
                <c:pt idx="0">
                  <c:v>father</c:v>
                </c:pt>
              </c:strCache>
            </c:strRef>
          </c:cat>
          <c:val>
            <c:numRef>
              <c:f>Pivot_Source!$L$3:$L$4</c:f>
              <c:numCache>
                <c:formatCode>0.00%;\-0.00%;0.00%</c:formatCode>
                <c:ptCount val="1"/>
                <c:pt idx="0">
                  <c:v>0.52222222222222225</c:v>
                </c:pt>
              </c:numCache>
            </c:numRef>
          </c:val>
          <c:extLst>
            <c:ext xmlns:c16="http://schemas.microsoft.com/office/drawing/2014/chart" uri="{C3380CC4-5D6E-409C-BE32-E72D297353CC}">
              <c16:uniqueId val="{00000001-2E63-414F-AC66-84562A8F8461}"/>
            </c:ext>
          </c:extLst>
        </c:ser>
        <c:dLbls>
          <c:dLblPos val="outEnd"/>
          <c:showLegendKey val="0"/>
          <c:showVal val="1"/>
          <c:showCatName val="0"/>
          <c:showSerName val="0"/>
          <c:showPercent val="0"/>
          <c:showBubbleSize val="0"/>
        </c:dLbls>
        <c:gapWidth val="182"/>
        <c:axId val="957583792"/>
        <c:axId val="957579472"/>
      </c:barChart>
      <c:catAx>
        <c:axId val="95758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79472"/>
        <c:crosses val="autoZero"/>
        <c:auto val="1"/>
        <c:lblAlgn val="ctr"/>
        <c:lblOffset val="100"/>
        <c:noMultiLvlLbl val="0"/>
      </c:catAx>
      <c:valAx>
        <c:axId val="95757947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58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[S426 Clean Final (1).xlsx]Pivot_Source!PivotTable22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Pivot_Source!$Q$2</c:f>
              <c:strCache>
                <c:ptCount val="1"/>
                <c:pt idx="0">
                  <c:v>Average Final Grade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Pivot_Source!$P$3:$P$5</c:f>
              <c:strCache>
                <c:ptCount val="2"/>
                <c:pt idx="0">
                  <c:v>Apart</c:v>
                </c:pt>
                <c:pt idx="1">
                  <c:v>Living together</c:v>
                </c:pt>
              </c:strCache>
            </c:strRef>
          </c:cat>
          <c:val>
            <c:numRef>
              <c:f>Pivot_Source!$Q$3:$Q$5</c:f>
              <c:numCache>
                <c:formatCode>0.0</c:formatCode>
                <c:ptCount val="2"/>
                <c:pt idx="0">
                  <c:v>8</c:v>
                </c:pt>
                <c:pt idx="1">
                  <c:v>10.506024096385541</c:v>
                </c:pt>
              </c:numCache>
            </c:numRef>
          </c:val>
          <c:extLst>
            <c:ext xmlns:c16="http://schemas.microsoft.com/office/drawing/2014/chart" uri="{C3380CC4-5D6E-409C-BE32-E72D297353CC}">
              <c16:uniqueId val="{00000000-8E10-4911-B170-3E94AE8442DC}"/>
            </c:ext>
          </c:extLst>
        </c:ser>
        <c:ser>
          <c:idx val="1"/>
          <c:order val="1"/>
          <c:tx>
            <c:strRef>
              <c:f>Pivot_Source!$R$2</c:f>
              <c:strCache>
                <c:ptCount val="1"/>
                <c:pt idx="0">
                  <c:v>Pass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Pivot_Source!$P$3:$P$5</c:f>
              <c:strCache>
                <c:ptCount val="2"/>
                <c:pt idx="0">
                  <c:v>Apart</c:v>
                </c:pt>
                <c:pt idx="1">
                  <c:v>Living together</c:v>
                </c:pt>
              </c:strCache>
            </c:strRef>
          </c:cat>
          <c:val>
            <c:numRef>
              <c:f>Pivot_Source!$R$3:$R$5</c:f>
              <c:numCache>
                <c:formatCode>0.00%;\-0.00%;0.00%</c:formatCode>
                <c:ptCount val="2"/>
                <c:pt idx="0">
                  <c:v>0.5</c:v>
                </c:pt>
                <c:pt idx="1">
                  <c:v>0.52325581395348841</c:v>
                </c:pt>
              </c:numCache>
            </c:numRef>
          </c:val>
          <c:extLst>
            <c:ext xmlns:c16="http://schemas.microsoft.com/office/drawing/2014/chart" uri="{C3380CC4-5D6E-409C-BE32-E72D297353CC}">
              <c16:uniqueId val="{00000001-8E10-4911-B170-3E94AE8442DC}"/>
            </c:ext>
          </c:extLst>
        </c:ser>
        <c:dLbls>
          <c:dLblPos val="outEnd"/>
          <c:showLegendKey val="0"/>
          <c:showVal val="1"/>
          <c:showCatName val="0"/>
          <c:showSerName val="0"/>
          <c:showPercent val="0"/>
          <c:showBubbleSize val="0"/>
        </c:dLbls>
        <c:gapWidth val="182"/>
        <c:axId val="907085295"/>
        <c:axId val="907089615"/>
      </c:barChart>
      <c:catAx>
        <c:axId val="90708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89615"/>
        <c:crosses val="autoZero"/>
        <c:auto val="1"/>
        <c:lblAlgn val="ctr"/>
        <c:lblOffset val="100"/>
        <c:noMultiLvlLbl val="0"/>
      </c:catAx>
      <c:valAx>
        <c:axId val="90708961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8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11</xdr:col>
      <xdr:colOff>9520</xdr:colOff>
      <xdr:row>4</xdr:row>
      <xdr:rowOff>154780</xdr:rowOff>
    </xdr:from>
    <xdr:to>
      <xdr:col>16</xdr:col>
      <xdr:colOff>566733</xdr:colOff>
      <xdr:row>20</xdr:row>
      <xdr:rowOff>2380</xdr:rowOff>
    </xdr:to>
    <xdr:graphicFrame macro="">
      <xdr:nvGraphicFramePr>
        <xdr:cNvPr id="2" name="Chart 1">
          <a:extLst>
            <a:ext uri="{FF2B5EF4-FFF2-40B4-BE49-F238E27FC236}">
              <a16:creationId xmlns:a16="http://schemas.microsoft.com/office/drawing/2014/main" id="{FC8DAF09-072C-C75D-C054-96EA1D3BA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633410</xdr:colOff>
      <xdr:row>28</xdr:row>
      <xdr:rowOff>11904</xdr:rowOff>
    </xdr:from>
    <xdr:to>
      <xdr:col>16</xdr:col>
      <xdr:colOff>542923</xdr:colOff>
      <xdr:row>43</xdr:row>
      <xdr:rowOff>40479</xdr:rowOff>
    </xdr:to>
    <xdr:graphicFrame macro="">
      <xdr:nvGraphicFramePr>
        <xdr:cNvPr id="4" name="Chart 3">
          <a:extLst>
            <a:ext uri="{FF2B5EF4-FFF2-40B4-BE49-F238E27FC236}">
              <a16:creationId xmlns:a16="http://schemas.microsoft.com/office/drawing/2014/main" id="{C14AA7C9-4D81-61CE-6C15-881FAF35C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595312</xdr:colOff>
      <xdr:row>51</xdr:row>
      <xdr:rowOff>7143</xdr:rowOff>
    </xdr:from>
    <xdr:to>
      <xdr:col>16</xdr:col>
      <xdr:colOff>504825</xdr:colOff>
      <xdr:row>66</xdr:row>
      <xdr:rowOff>35718</xdr:rowOff>
    </xdr:to>
    <xdr:graphicFrame macro="">
      <xdr:nvGraphicFramePr>
        <xdr:cNvPr id="5" name="Chart 4">
          <a:extLst>
            <a:ext uri="{FF2B5EF4-FFF2-40B4-BE49-F238E27FC236}">
              <a16:creationId xmlns:a16="http://schemas.microsoft.com/office/drawing/2014/main" id="{BBE2E64F-23CB-F6D6-B498-E1E73B10B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314325</xdr:colOff>
      <xdr:row>70</xdr:row>
      <xdr:rowOff>166687</xdr:rowOff>
    </xdr:from>
    <xdr:to>
      <xdr:col>20</xdr:col>
      <xdr:colOff>352425</xdr:colOff>
      <xdr:row>86</xdr:row>
      <xdr:rowOff>14287</xdr:rowOff>
    </xdr:to>
    <xdr:graphicFrame macro="">
      <xdr:nvGraphicFramePr>
        <xdr:cNvPr id="7" name="Chart 6">
          <a:extLst>
            <a:ext uri="{FF2B5EF4-FFF2-40B4-BE49-F238E27FC236}">
              <a16:creationId xmlns:a16="http://schemas.microsoft.com/office/drawing/2014/main" id="{D93906C5-3893-4830-9B51-28F32B2DB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457199</xdr:colOff>
      <xdr:row>97</xdr:row>
      <xdr:rowOff>88106</xdr:rowOff>
    </xdr:from>
    <xdr:to>
      <xdr:col>21</xdr:col>
      <xdr:colOff>128586</xdr:colOff>
      <xdr:row>112</xdr:row>
      <xdr:rowOff>116681</xdr:rowOff>
    </xdr:to>
    <xdr:graphicFrame macro="">
      <xdr:nvGraphicFramePr>
        <xdr:cNvPr id="10" name="Chart 9">
          <a:extLst>
            <a:ext uri="{FF2B5EF4-FFF2-40B4-BE49-F238E27FC236}">
              <a16:creationId xmlns:a16="http://schemas.microsoft.com/office/drawing/2014/main" id="{54E17BB9-E4F0-FF90-8622-48362964C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195263</xdr:colOff>
      <xdr:row>16</xdr:row>
      <xdr:rowOff>28575</xdr:rowOff>
    </xdr:to>
    <xdr:graphicFrame macro="">
      <xdr:nvGraphicFramePr>
        <xdr:cNvPr id="2" name="Chart 1">
          <a:extLst>
            <a:ext uri="{FF2B5EF4-FFF2-40B4-BE49-F238E27FC236}">
              <a16:creationId xmlns:a16="http://schemas.microsoft.com/office/drawing/2014/main" id="{EC03447A-61D1-48A7-814A-16FE1B672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xdr:row>
      <xdr:rowOff>0</xdr:rowOff>
    </xdr:from>
    <xdr:to>
      <xdr:col>8</xdr:col>
      <xdr:colOff>195263</xdr:colOff>
      <xdr:row>33</xdr:row>
      <xdr:rowOff>28575</xdr:rowOff>
    </xdr:to>
    <xdr:graphicFrame macro="">
      <xdr:nvGraphicFramePr>
        <xdr:cNvPr id="3" name="Chart 2">
          <a:extLst>
            <a:ext uri="{FF2B5EF4-FFF2-40B4-BE49-F238E27FC236}">
              <a16:creationId xmlns:a16="http://schemas.microsoft.com/office/drawing/2014/main" id="{7D99F83D-4D79-491D-8C1F-0B77BC34A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xdr:row>
      <xdr:rowOff>0</xdr:rowOff>
    </xdr:from>
    <xdr:to>
      <xdr:col>16</xdr:col>
      <xdr:colOff>195263</xdr:colOff>
      <xdr:row>16</xdr:row>
      <xdr:rowOff>28575</xdr:rowOff>
    </xdr:to>
    <xdr:graphicFrame macro="">
      <xdr:nvGraphicFramePr>
        <xdr:cNvPr id="5" name="Chart 4">
          <a:extLst>
            <a:ext uri="{FF2B5EF4-FFF2-40B4-BE49-F238E27FC236}">
              <a16:creationId xmlns:a16="http://schemas.microsoft.com/office/drawing/2014/main" id="{8A3CF8EA-098B-442F-9723-9C5B695BD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18</xdr:row>
      <xdr:rowOff>0</xdr:rowOff>
    </xdr:from>
    <xdr:to>
      <xdr:col>16</xdr:col>
      <xdr:colOff>404813</xdr:colOff>
      <xdr:row>33</xdr:row>
      <xdr:rowOff>28575</xdr:rowOff>
    </xdr:to>
    <xdr:graphicFrame macro="">
      <xdr:nvGraphicFramePr>
        <xdr:cNvPr id="6" name="Chart 5">
          <a:extLst>
            <a:ext uri="{FF2B5EF4-FFF2-40B4-BE49-F238E27FC236}">
              <a16:creationId xmlns:a16="http://schemas.microsoft.com/office/drawing/2014/main" id="{3474D2D9-505C-46DF-954D-C3F0E3D90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57149</xdr:colOff>
      <xdr:row>20</xdr:row>
      <xdr:rowOff>56657</xdr:rowOff>
    </xdr:from>
    <xdr:to>
      <xdr:col>3</xdr:col>
      <xdr:colOff>590549</xdr:colOff>
      <xdr:row>25</xdr:row>
      <xdr:rowOff>132857</xdr:rowOff>
    </xdr:to>
    <mc:AlternateContent xmlns:mc="http://schemas.openxmlformats.org/markup-compatibility/2006" xmlns:a14="http://schemas.microsoft.com/office/drawing/2010/main">
      <mc:Choice Requires="a14">
        <xdr:graphicFrame macro="">
          <xdr:nvGraphicFramePr>
            <xdr:cNvPr id="2" name="sex 1">
              <a:extLst>
                <a:ext uri="{FF2B5EF4-FFF2-40B4-BE49-F238E27FC236}">
                  <a16:creationId xmlns:a16="http://schemas.microsoft.com/office/drawing/2014/main" id="{CC4A1BAA-2A2A-416A-81A2-066C37CE1130}"/>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703489" y="3730586"/>
              <a:ext cx="1826079" cy="9946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642939</xdr:colOff>
      <xdr:row>13</xdr:row>
      <xdr:rowOff>33337</xdr:rowOff>
    </xdr:from>
    <xdr:to>
      <xdr:col>9</xdr:col>
      <xdr:colOff>590550</xdr:colOff>
      <xdr:row>25</xdr:row>
      <xdr:rowOff>104776</xdr:rowOff>
    </xdr:to>
    <xdr:graphicFrame macro="">
      <xdr:nvGraphicFramePr>
        <xdr:cNvPr id="3" name="Chart 2">
          <a:extLst>
            <a:ext uri="{FF2B5EF4-FFF2-40B4-BE49-F238E27FC236}">
              <a16:creationId xmlns:a16="http://schemas.microsoft.com/office/drawing/2014/main" id="{3DCDEB08-3A37-4511-BEC1-88CCAB572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33338</xdr:colOff>
      <xdr:row>20</xdr:row>
      <xdr:rowOff>52387</xdr:rowOff>
    </xdr:from>
    <xdr:to>
      <xdr:col>13</xdr:col>
      <xdr:colOff>12370</xdr:colOff>
      <xdr:row>25</xdr:row>
      <xdr:rowOff>95250</xdr:rowOff>
    </xdr:to>
    <mc:AlternateContent xmlns:mc="http://schemas.openxmlformats.org/markup-compatibility/2006" xmlns:a14="http://schemas.microsoft.com/office/drawing/2010/main">
      <mc:Choice Requires="a14">
        <xdr:graphicFrame macro="">
          <xdr:nvGraphicFramePr>
            <xdr:cNvPr id="4" name="address_type 1">
              <a:extLst>
                <a:ext uri="{FF2B5EF4-FFF2-40B4-BE49-F238E27FC236}">
                  <a16:creationId xmlns:a16="http://schemas.microsoft.com/office/drawing/2014/main" id="{DBBAC4B1-C5D1-4C22-B983-B817BE341DDC}"/>
                </a:ext>
              </a:extLst>
            </xdr:cNvPr>
            <xdr:cNvGraphicFramePr/>
          </xdr:nvGraphicFramePr>
          <xdr:xfrm>
            <a:off x="0" y="0"/>
            <a:ext cx="0" cy="0"/>
          </xdr:xfrm>
          <a:graphic>
            <a:graphicData uri="http://schemas.microsoft.com/office/drawing/2010/slicer">
              <sle:slicer xmlns:sle="http://schemas.microsoft.com/office/drawing/2010/slicer" name="address_type 1"/>
            </a:graphicData>
          </a:graphic>
        </xdr:graphicFrame>
      </mc:Choice>
      <mc:Fallback xmlns="">
        <xdr:sp macro="" textlink="">
          <xdr:nvSpPr>
            <xdr:cNvPr id="0" name=""/>
            <xdr:cNvSpPr>
              <a:spLocks noTextEdit="1"/>
            </xdr:cNvSpPr>
          </xdr:nvSpPr>
          <xdr:spPr>
            <a:xfrm>
              <a:off x="6496731" y="3726316"/>
              <a:ext cx="1918050" cy="9613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9523</xdr:colOff>
      <xdr:row>13</xdr:row>
      <xdr:rowOff>57149</xdr:rowOff>
    </xdr:from>
    <xdr:to>
      <xdr:col>19</xdr:col>
      <xdr:colOff>585786</xdr:colOff>
      <xdr:row>25</xdr:row>
      <xdr:rowOff>123825</xdr:rowOff>
    </xdr:to>
    <xdr:graphicFrame macro="">
      <xdr:nvGraphicFramePr>
        <xdr:cNvPr id="5" name="Chart 4">
          <a:extLst>
            <a:ext uri="{FF2B5EF4-FFF2-40B4-BE49-F238E27FC236}">
              <a16:creationId xmlns:a16="http://schemas.microsoft.com/office/drawing/2014/main" id="{3DA1BA3B-F303-4DCD-ACCA-C8002BE9F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42183</xdr:colOff>
      <xdr:row>26</xdr:row>
      <xdr:rowOff>114981</xdr:rowOff>
    </xdr:from>
    <xdr:to>
      <xdr:col>11</xdr:col>
      <xdr:colOff>54429</xdr:colOff>
      <xdr:row>39</xdr:row>
      <xdr:rowOff>47625</xdr:rowOff>
    </xdr:to>
    <xdr:graphicFrame macro="">
      <xdr:nvGraphicFramePr>
        <xdr:cNvPr id="8" name="Chart 7">
          <a:extLst>
            <a:ext uri="{FF2B5EF4-FFF2-40B4-BE49-F238E27FC236}">
              <a16:creationId xmlns:a16="http://schemas.microsoft.com/office/drawing/2014/main" id="{9885495F-B416-4F0D-B14F-937CD2827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29255</xdr:colOff>
      <xdr:row>33</xdr:row>
      <xdr:rowOff>40946</xdr:rowOff>
    </xdr:from>
    <xdr:to>
      <xdr:col>4</xdr:col>
      <xdr:colOff>8832</xdr:colOff>
      <xdr:row>39</xdr:row>
      <xdr:rowOff>156437</xdr:rowOff>
    </xdr:to>
    <mc:AlternateContent xmlns:mc="http://schemas.openxmlformats.org/markup-compatibility/2006" xmlns:a14="http://schemas.microsoft.com/office/drawing/2010/main">
      <mc:Choice Requires="a14">
        <xdr:graphicFrame macro="">
          <xdr:nvGraphicFramePr>
            <xdr:cNvPr id="9" name="guardian 1">
              <a:extLst>
                <a:ext uri="{FF2B5EF4-FFF2-40B4-BE49-F238E27FC236}">
                  <a16:creationId xmlns:a16="http://schemas.microsoft.com/office/drawing/2014/main" id="{A0447404-61B6-42F2-B8AD-CD0CD4100DDE}"/>
                </a:ext>
              </a:extLst>
            </xdr:cNvPr>
            <xdr:cNvGraphicFramePr/>
          </xdr:nvGraphicFramePr>
          <xdr:xfrm>
            <a:off x="0" y="0"/>
            <a:ext cx="0" cy="0"/>
          </xdr:xfrm>
          <a:graphic>
            <a:graphicData uri="http://schemas.microsoft.com/office/drawing/2010/slicer">
              <sle:slicer xmlns:sle="http://schemas.microsoft.com/office/drawing/2010/slicer" name="guardian 1"/>
            </a:graphicData>
          </a:graphic>
        </xdr:graphicFrame>
      </mc:Choice>
      <mc:Fallback xmlns="">
        <xdr:sp macro="" textlink="">
          <xdr:nvSpPr>
            <xdr:cNvPr id="0" name=""/>
            <xdr:cNvSpPr>
              <a:spLocks noTextEdit="1"/>
            </xdr:cNvSpPr>
          </xdr:nvSpPr>
          <xdr:spPr>
            <a:xfrm>
              <a:off x="675595" y="6102929"/>
              <a:ext cx="1918594" cy="12176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108856</xdr:colOff>
      <xdr:row>26</xdr:row>
      <xdr:rowOff>110898</xdr:rowOff>
    </xdr:from>
    <xdr:to>
      <xdr:col>19</xdr:col>
      <xdr:colOff>537482</xdr:colOff>
      <xdr:row>39</xdr:row>
      <xdr:rowOff>13608</xdr:rowOff>
    </xdr:to>
    <xdr:graphicFrame macro="">
      <xdr:nvGraphicFramePr>
        <xdr:cNvPr id="10" name="Chart 9">
          <a:extLst>
            <a:ext uri="{FF2B5EF4-FFF2-40B4-BE49-F238E27FC236}">
              <a16:creationId xmlns:a16="http://schemas.microsoft.com/office/drawing/2014/main" id="{EF2C984B-7584-4A71-BF15-CCDD3DFD8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38475</xdr:colOff>
      <xdr:row>5</xdr:row>
      <xdr:rowOff>115177</xdr:rowOff>
    </xdr:from>
    <xdr:to>
      <xdr:col>5</xdr:col>
      <xdr:colOff>43864</xdr:colOff>
      <xdr:row>18</xdr:row>
      <xdr:rowOff>87730</xdr:rowOff>
    </xdr:to>
    <xdr:graphicFrame macro="">
      <xdr:nvGraphicFramePr>
        <xdr:cNvPr id="3" name="Chart 2">
          <a:extLst>
            <a:ext uri="{FF2B5EF4-FFF2-40B4-BE49-F238E27FC236}">
              <a16:creationId xmlns:a16="http://schemas.microsoft.com/office/drawing/2014/main" id="{4FB053E6-ADD5-CE1D-A65D-059136745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163428</xdr:colOff>
      <xdr:row>10</xdr:row>
      <xdr:rowOff>12157</xdr:rowOff>
    </xdr:from>
    <xdr:to>
      <xdr:col>8</xdr:col>
      <xdr:colOff>106905</xdr:colOff>
      <xdr:row>20</xdr:row>
      <xdr:rowOff>33588</xdr:rowOff>
    </xdr:to>
    <xdr:graphicFrame macro="">
      <xdr:nvGraphicFramePr>
        <xdr:cNvPr id="4" name="Chart 3">
          <a:extLst>
            <a:ext uri="{FF2B5EF4-FFF2-40B4-BE49-F238E27FC236}">
              <a16:creationId xmlns:a16="http://schemas.microsoft.com/office/drawing/2014/main" id="{EA9FF2F8-E867-430B-DA1F-69131B86E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600075</xdr:colOff>
      <xdr:row>6</xdr:row>
      <xdr:rowOff>54771</xdr:rowOff>
    </xdr:from>
    <xdr:to>
      <xdr:col>14</xdr:col>
      <xdr:colOff>190500</xdr:colOff>
      <xdr:row>20</xdr:row>
      <xdr:rowOff>133351</xdr:rowOff>
    </xdr:to>
    <xdr:graphicFrame macro="">
      <xdr:nvGraphicFramePr>
        <xdr:cNvPr id="6" name="Chart 5">
          <a:extLst>
            <a:ext uri="{FF2B5EF4-FFF2-40B4-BE49-F238E27FC236}">
              <a16:creationId xmlns:a16="http://schemas.microsoft.com/office/drawing/2014/main" id="{A98F014C-6337-1FDD-393A-C872C5DF4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9523</xdr:colOff>
      <xdr:row>16</xdr:row>
      <xdr:rowOff>89987</xdr:rowOff>
    </xdr:from>
    <xdr:to>
      <xdr:col>2</xdr:col>
      <xdr:colOff>936455</xdr:colOff>
      <xdr:row>30</xdr:row>
      <xdr:rowOff>80462</xdr:rowOff>
    </xdr:to>
    <mc:AlternateContent xmlns:mc="http://schemas.openxmlformats.org/markup-compatibility/2006" xmlns:a14="http://schemas.microsoft.com/office/drawing/2010/main">
      <mc:Choice Requires="a14">
        <xdr:graphicFrame macro="">
          <xdr:nvGraphicFramePr>
            <xdr:cNvPr id="7" name="sex">
              <a:extLst>
                <a:ext uri="{FF2B5EF4-FFF2-40B4-BE49-F238E27FC236}">
                  <a16:creationId xmlns:a16="http://schemas.microsoft.com/office/drawing/2014/main" id="{A081B0EF-0E12-C21A-6505-9C4C05022915}"/>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911891" y="2997619"/>
              <a:ext cx="1829301" cy="253465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22810</xdr:colOff>
      <xdr:row>21</xdr:row>
      <xdr:rowOff>147639</xdr:rowOff>
    </xdr:from>
    <xdr:to>
      <xdr:col>7</xdr:col>
      <xdr:colOff>632408</xdr:colOff>
      <xdr:row>35</xdr:row>
      <xdr:rowOff>138113</xdr:rowOff>
    </xdr:to>
    <mc:AlternateContent xmlns:mc="http://schemas.openxmlformats.org/markup-compatibility/2006" xmlns:a14="http://schemas.microsoft.com/office/drawing/2010/main">
      <mc:Choice Requires="a14">
        <xdr:graphicFrame macro="">
          <xdr:nvGraphicFramePr>
            <xdr:cNvPr id="8" name="address_type">
              <a:extLst>
                <a:ext uri="{FF2B5EF4-FFF2-40B4-BE49-F238E27FC236}">
                  <a16:creationId xmlns:a16="http://schemas.microsoft.com/office/drawing/2014/main" id="{155BD92A-02D9-9DF1-66A6-8B834C8AEF35}"/>
                </a:ext>
              </a:extLst>
            </xdr:cNvPr>
            <xdr:cNvGraphicFramePr/>
          </xdr:nvGraphicFramePr>
          <xdr:xfrm>
            <a:off x="0" y="0"/>
            <a:ext cx="0" cy="0"/>
          </xdr:xfrm>
          <a:graphic>
            <a:graphicData uri="http://schemas.microsoft.com/office/drawing/2010/slicer">
              <sle:slicer xmlns:sle="http://schemas.microsoft.com/office/drawing/2010/slicer" name="address_type"/>
            </a:graphicData>
          </a:graphic>
        </xdr:graphicFrame>
      </mc:Choice>
      <mc:Fallback xmlns="">
        <xdr:sp macro="" textlink="">
          <xdr:nvSpPr>
            <xdr:cNvPr id="0" name=""/>
            <xdr:cNvSpPr>
              <a:spLocks noTextEdit="1"/>
            </xdr:cNvSpPr>
          </xdr:nvSpPr>
          <xdr:spPr>
            <a:xfrm>
              <a:off x="5988468" y="3963906"/>
              <a:ext cx="1831556" cy="253465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28324</xdr:colOff>
      <xdr:row>21</xdr:row>
      <xdr:rowOff>167690</xdr:rowOff>
    </xdr:from>
    <xdr:to>
      <xdr:col>11</xdr:col>
      <xdr:colOff>635670</xdr:colOff>
      <xdr:row>35</xdr:row>
      <xdr:rowOff>157412</xdr:rowOff>
    </xdr:to>
    <mc:AlternateContent xmlns:mc="http://schemas.openxmlformats.org/markup-compatibility/2006" xmlns:a14="http://schemas.microsoft.com/office/drawing/2010/main">
      <mc:Choice Requires="a14">
        <xdr:graphicFrame macro="">
          <xdr:nvGraphicFramePr>
            <xdr:cNvPr id="9" name="guardian">
              <a:extLst>
                <a:ext uri="{FF2B5EF4-FFF2-40B4-BE49-F238E27FC236}">
                  <a16:creationId xmlns:a16="http://schemas.microsoft.com/office/drawing/2014/main" id="{1955F86B-B6B8-FD9B-D51A-9450FE02CE15}"/>
                </a:ext>
              </a:extLst>
            </xdr:cNvPr>
            <xdr:cNvGraphicFramePr/>
          </xdr:nvGraphicFramePr>
          <xdr:xfrm>
            <a:off x="0" y="0"/>
            <a:ext cx="0" cy="0"/>
          </xdr:xfrm>
          <a:graphic>
            <a:graphicData uri="http://schemas.microsoft.com/office/drawing/2010/slicer">
              <sle:slicer xmlns:sle="http://schemas.microsoft.com/office/drawing/2010/slicer" name="guardian"/>
            </a:graphicData>
          </a:graphic>
        </xdr:graphicFrame>
      </mc:Choice>
      <mc:Fallback xmlns="">
        <xdr:sp macro="" textlink="">
          <xdr:nvSpPr>
            <xdr:cNvPr id="0" name=""/>
            <xdr:cNvSpPr>
              <a:spLocks noTextEdit="1"/>
            </xdr:cNvSpPr>
          </xdr:nvSpPr>
          <xdr:spPr>
            <a:xfrm>
              <a:off x="10060907" y="3983957"/>
              <a:ext cx="1829302" cy="25339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587164</xdr:colOff>
      <xdr:row>7</xdr:row>
      <xdr:rowOff>60282</xdr:rowOff>
    </xdr:from>
    <xdr:to>
      <xdr:col>20</xdr:col>
      <xdr:colOff>277602</xdr:colOff>
      <xdr:row>22</xdr:row>
      <xdr:rowOff>77578</xdr:rowOff>
    </xdr:to>
    <xdr:graphicFrame macro="">
      <xdr:nvGraphicFramePr>
        <xdr:cNvPr id="10" name="Chart 9">
          <a:extLst>
            <a:ext uri="{FF2B5EF4-FFF2-40B4-BE49-F238E27FC236}">
              <a16:creationId xmlns:a16="http://schemas.microsoft.com/office/drawing/2014/main" id="{7B09F61B-839A-F593-89AA-D934E7124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ts Caramel" refreshedDate="46179.841297222221" backgroundQuery="1" createdVersion="8" refreshedVersion="8" minRefreshableVersion="3" recordCount="0" supportSubquery="1" supportAdvancedDrill="1" xr:uid="{1038D945-8D55-4A6B-B5E5-FFA728F0A563}">
  <cacheSource type="external" connectionId="7"/>
  <cacheFields count="3">
    <cacheField name="[tbl_Students].[age].[age]" caption="age" numFmtId="0" hierarchy="35" level="1">
      <sharedItems containsSemiMixedTypes="0" containsString="0" containsNumber="1" containsInteger="1" minValue="15" maxValue="22" count="8">
        <n v="15"/>
        <n v="16"/>
        <n v="17"/>
        <n v="18"/>
        <n v="19"/>
        <n v="20"/>
        <n v="21"/>
        <n v="22"/>
      </sharedItems>
      <extLst>
        <ext xmlns:x15="http://schemas.microsoft.com/office/spreadsheetml/2010/11/main" uri="{4F2E5C28-24EA-4eb8-9CBF-B6C8F9C3D259}">
          <x15:cachedUniqueNames>
            <x15:cachedUniqueName index="0" name="[tbl_Students].[age].&amp;[15]"/>
            <x15:cachedUniqueName index="1" name="[tbl_Students].[age].&amp;[16]"/>
            <x15:cachedUniqueName index="2" name="[tbl_Students].[age].&amp;[17]"/>
            <x15:cachedUniqueName index="3" name="[tbl_Students].[age].&amp;[18]"/>
            <x15:cachedUniqueName index="4" name="[tbl_Students].[age].&amp;[19]"/>
            <x15:cachedUniqueName index="5" name="[tbl_Students].[age].&amp;[20]"/>
            <x15:cachedUniqueName index="6" name="[tbl_Students].[age].&amp;[21]"/>
            <x15:cachedUniqueName index="7" name="[tbl_Students].[age].&amp;[22]"/>
          </x15:cachedUniqueNames>
        </ext>
      </extLst>
    </cacheField>
    <cacheField name="[Measures].[Count of student_id]" caption="Count of student_id" numFmtId="0" hierarchy="45" level="32767"/>
    <cacheField name="[tbl_Students].[Age_Group].[Age_Group]" caption="Age_Group" numFmtId="0" hierarchy="42" level="1">
      <sharedItems count="4">
        <s v="15-16"/>
        <s v="17-18"/>
        <s v="19-20"/>
        <s v="21-22"/>
      </sharedItems>
    </cacheField>
  </cacheFields>
  <cacheHierarchies count="58">
    <cacheHierarchy uniqueName="[tbl_FamilyBackground].[student_id]" caption="student_id" attribute="1" defaultMemberUniqueName="[tbl_FamilyBackground].[student_id].[All]" allUniqueName="[tbl_FamilyBackground].[student_id].[All]" dimensionUniqueName="[tbl_FamilyBackground]" displayFolder="" count="0"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0"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0"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0"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0" memberValueDatatype="130" unbalanced="0"/>
    <cacheHierarchy uniqueName="[tbl_Grades].[student_id]" caption="student_id" attribute="1" defaultMemberUniqueName="[tbl_Grades].[student_id].[All]" allUniqueName="[tbl_Grades].[student_id].[All]" dimensionUniqueName="[tbl_Grades]" displayFolder="" count="0" memberValueDatatype="20" unbalanced="0"/>
    <cacheHierarchy uniqueName="[tbl_Grades].[grade_1]" caption="grade_1" attribute="1" defaultMemberUniqueName="[tbl_Grades].[grade_1].[All]" allUniqueName="[tbl_Grades].[grade_1].[All]" dimensionUniqueName="[tbl_Grades]" displayFolder="" count="0" memberValueDatatype="20" unbalanced="0"/>
    <cacheHierarchy uniqueName="[tbl_Grades].[grade_2]" caption="grade_2" attribute="1" defaultMemberUniqueName="[tbl_Grades].[grade_2].[All]" allUniqueName="[tbl_Grades].[grade_2].[All]" dimensionUniqueName="[tbl_Grades]" displayFolder="" count="0" memberValueDatatype="20" unbalanced="0"/>
    <cacheHierarchy uniqueName="[tbl_Grades].[final_grade]" caption="final_grade" attribute="1" defaultMemberUniqueName="[tbl_Grades].[final_grade].[All]" allUniqueName="[tbl_Grades].[final_grade].[All]" dimensionUniqueName="[tbl_Grades]" displayFolder="" count="0" memberValueDatatype="20" unbalanced="0"/>
    <cacheHierarchy uniqueName="[tbl_Lifestyle].[student_id]" caption="student_id" attribute="1" defaultMemberUniqueName="[tbl_Lifestyle].[student_id].[All]" allUniqueName="[tbl_Lifestyle].[student_id].[All]" dimensionUniqueName="[tbl_Lifestyle]" displayFolder="" count="0" memberValueDatatype="20" unbalanced="0"/>
    <cacheHierarchy uniqueName="[tbl_Lifestyle].[activities]" caption="activities" attribute="1" defaultMemberUniqueName="[tbl_Lifestyle].[activities].[All]" allUniqueName="[tbl_Lifestyle].[activities].[All]" dimensionUniqueName="[tbl_Lifestyle]" displayFolder="" count="0" memberValueDatatype="130" unbalanced="0"/>
    <cacheHierarchy uniqueName="[tbl_Lifestyle].[internet_access]" caption="internet_access" attribute="1" defaultMemberUniqueName="[tbl_Lifestyle].[internet_access].[All]" allUniqueName="[tbl_Lifestyle].[internet_access].[All]" dimensionUniqueName="[tbl_Lifestyle]" displayFolder="" count="0"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0"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0" memberValueDatatype="20" unbalanced="0"/>
    <cacheHierarchy uniqueName="[tbl_Lifestyle].[free_time]" caption="free_time" attribute="1" defaultMemberUniqueName="[tbl_Lifestyle].[free_time].[All]" allUniqueName="[tbl_Lifestyle].[free_time].[All]" dimensionUniqueName="[tbl_Lifestyle]" displayFolder="" count="0" memberValueDatatype="20" unbalanced="0"/>
    <cacheHierarchy uniqueName="[tbl_Lifestyle].[social]" caption="social" attribute="1" defaultMemberUniqueName="[tbl_Lifestyle].[social].[All]" allUniqueName="[tbl_Lifestyle].[social].[All]" dimensionUniqueName="[tbl_Lifestyle]" displayFolder="" count="0" memberValueDatatype="20" unbalanced="0"/>
    <cacheHierarchy uniqueName="[tbl_Lifestyle].[weekday_alcohol]" caption="weekday_alcohol" attribute="1" defaultMemberUniqueName="[tbl_Lifestyle].[weekday_alcohol].[All]" allUniqueName="[tbl_Lifestyle].[weekday_alcohol].[All]" dimensionUniqueName="[tbl_Lifestyle]" displayFolder="" count="0" memberValueDatatype="20" unbalanced="0"/>
    <cacheHierarchy uniqueName="[tbl_Lifestyle].[weekend_alcohol]" caption="weekend_alcohol" attribute="1" defaultMemberUniqueName="[tbl_Lifestyle].[weekend_alcohol].[All]" allUniqueName="[tbl_Lifestyle].[weekend_alcohol].[All]" dimensionUniqueName="[tbl_Lifestyle]" displayFolder="" count="0" memberValueDatatype="20" unbalanced="0"/>
    <cacheHierarchy uniqueName="[tbl_Lifestyle].[health]" caption="health" attribute="1" defaultMemberUniqueName="[tbl_Lifestyle].[health].[All]" allUniqueName="[tbl_Lifestyle].[health].[All]" dimensionUniqueName="[tbl_Lifestyle]" displayFolder="" count="0" memberValueDatatype="20" unbalanced="0"/>
    <cacheHierarchy uniqueName="[tbl_Lifestyle].[absences]" caption="absences" attribute="1" defaultMemberUniqueName="[tbl_Lifestyle].[absences].[All]" allUniqueName="[tbl_Lifestyle].[absences].[All]" dimensionUniqueName="[tbl_Lifestyle]" displayFolder="" count="0" memberValueDatatype="20" unbalanced="0"/>
    <cacheHierarchy uniqueName="[tbl_SchoolLife].[student_id]" caption="student_id" attribute="1" defaultMemberUniqueName="[tbl_SchoolLife].[student_id].[All]" allUniqueName="[tbl_SchoolLife].[student_id].[All]" dimensionUniqueName="[tbl_SchoolLife]" displayFolder="" count="0"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0" memberValueDatatype="130" unbalanced="0"/>
    <cacheHierarchy uniqueName="[tbl_SchoolLife].[travel_time]" caption="travel_time" attribute="1" defaultMemberUniqueName="[tbl_SchoolLife].[travel_time].[All]" allUniqueName="[tbl_SchoolLife].[travel_time].[All]" dimensionUniqueName="[tbl_SchoolLife]" displayFolder="" count="0" memberValueDatatype="130" unbalanced="0"/>
    <cacheHierarchy uniqueName="[tbl_SchoolLife].[study_time]" caption="study_time" attribute="1" defaultMemberUniqueName="[tbl_SchoolLife].[study_time].[All]" allUniqueName="[tbl_SchoolLife].[study_time].[All]" dimensionUniqueName="[tbl_SchoolLife]" displayFolder="" count="0" memberValueDatatype="130" unbalanced="0"/>
    <cacheHierarchy uniqueName="[tbl_SchoolLife].[class_failures]" caption="class_failures" attribute="1" defaultMemberUniqueName="[tbl_SchoolLife].[class_failures].[All]" allUniqueName="[tbl_SchoolLife].[class_failures].[All]" dimensionUniqueName="[tbl_SchoolLife]" displayFolder="" count="0" memberValueDatatype="20" unbalanced="0"/>
    <cacheHierarchy uniqueName="[tbl_SchoolLife].[school_support]" caption="school_support" attribute="1" defaultMemberUniqueName="[tbl_SchoolLife].[school_support].[All]" allUniqueName="[tbl_SchoolLife].[school_support].[All]" dimensionUniqueName="[tbl_SchoolLife]" displayFolder="" count="0" memberValueDatatype="130" unbalanced="0"/>
    <cacheHierarchy uniqueName="[tbl_SchoolLife].[family_support]" caption="family_support" attribute="1" defaultMemberUniqueName="[tbl_SchoolLife].[family_support].[All]" allUniqueName="[tbl_SchoolLife].[family_support].[All]" dimensionUniqueName="[tbl_SchoolLife]" displayFolder="" count="0"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0" memberValueDatatype="130" unbalanced="0"/>
    <cacheHierarchy uniqueName="[tbl_SchoolLife].[nursery_school]" caption="nursery_school" attribute="1" defaultMemberUniqueName="[tbl_SchoolLife].[nursery_school].[All]" allUniqueName="[tbl_SchoolLife].[nursery_school].[All]" dimensionUniqueName="[tbl_SchoolLife]" displayFolder="" count="0" memberValueDatatype="130" unbalanced="0"/>
    <cacheHierarchy uniqueName="[tbl_SchoolLife].[higher_ed]" caption="higher_ed" attribute="1" defaultMemberUniqueName="[tbl_SchoolLife].[higher_ed].[All]" allUniqueName="[tbl_SchoolLife].[higher_ed].[All]" dimensionUniqueName="[tbl_SchoolLife]" displayFolder="" count="0" memberValueDatatype="130" unbalanced="0"/>
    <cacheHierarchy uniqueName="[tbl_Schools].[school_id]" caption="school_id" attribute="1" defaultMemberUniqueName="[tbl_Schools].[school_id].[All]" allUniqueName="[tbl_Schools].[school_id].[All]" dimensionUniqueName="[tbl_Schools]" displayFolder="" count="0" memberValueDatatype="20" unbalanced="0"/>
    <cacheHierarchy uniqueName="[tbl_Schools].[school_code]" caption="school_code" attribute="1" defaultMemberUniqueName="[tbl_Schools].[school_code].[All]" allUniqueName="[tbl_Schools].[school_code].[All]" dimensionUniqueName="[tbl_Schools]" displayFolder="" count="0" memberValueDatatype="130" unbalanced="0"/>
    <cacheHierarchy uniqueName="[tbl_Schools].[school_name]" caption="school_name" attribute="1" defaultMemberUniqueName="[tbl_Schools].[school_name].[All]" allUniqueName="[tbl_Schools].[school_name].[All]" dimensionUniqueName="[tbl_Schools]" displayFolder="" count="0" memberValueDatatype="130" unbalanced="0"/>
    <cacheHierarchy uniqueName="[tbl_Students].[student_id]" caption="student_id" attribute="1" defaultMemberUniqueName="[tbl_Students].[student_id].[All]" allUniqueName="[tbl_Students].[student_id].[All]" dimensionUniqueName="[tbl_Students]" displayFolder="" count="0" memberValueDatatype="20" unbalanced="0"/>
    <cacheHierarchy uniqueName="[tbl_Students].[sex]" caption="sex" attribute="1" defaultMemberUniqueName="[tbl_Students].[sex].[All]" allUniqueName="[tbl_Students].[sex].[All]" dimensionUniqueName="[tbl_Students]" displayFolder="" count="0" memberValueDatatype="130" unbalanced="0"/>
    <cacheHierarchy uniqueName="[tbl_Students].[age]" caption="age" attribute="1" defaultMemberUniqueName="[tbl_Students].[age].[All]" allUniqueName="[tbl_Students].[age].[All]" dimensionUniqueName="[tbl_Students]" displayFolder="" count="2" memberValueDatatype="20" unbalanced="0">
      <fieldsUsage count="2">
        <fieldUsage x="-1"/>
        <fieldUsage x="0"/>
      </fieldsUsage>
    </cacheHierarchy>
    <cacheHierarchy uniqueName="[tbl_Students].[address_type]" caption="address_type" attribute="1" defaultMemberUniqueName="[tbl_Students].[address_type].[All]" allUniqueName="[tbl_Students].[address_type].[All]" dimensionUniqueName="[tbl_Students]" displayFolder="" count="0" memberValueDatatype="130" unbalanced="0"/>
    <cacheHierarchy uniqueName="[tbl_Students].[family_size]" caption="family_size" attribute="1" defaultMemberUniqueName="[tbl_Students].[family_size].[All]" allUniqueName="[tbl_Students].[family_size].[All]" dimensionUniqueName="[tbl_Students]" displayFolder="" count="0" memberValueDatatype="130" unbalanced="0"/>
    <cacheHierarchy uniqueName="[tbl_Students].[parent_status]" caption="parent_status" attribute="1" defaultMemberUniqueName="[tbl_Students].[parent_status].[All]" allUniqueName="[tbl_Students].[parent_status].[All]" dimensionUniqueName="[tbl_Students]" displayFolder="" count="0" memberValueDatatype="130" unbalanced="0"/>
    <cacheHierarchy uniqueName="[tbl_Students].[guardian]" caption="guardian" attribute="1" defaultMemberUniqueName="[tbl_Students].[guardian].[All]" allUniqueName="[tbl_Students].[guardian].[All]" dimensionUniqueName="[tbl_Students]" displayFolder="" count="0" memberValueDatatype="130" unbalanced="0"/>
    <cacheHierarchy uniqueName="[tbl_Students].[school_id]" caption="school_id" attribute="1" defaultMemberUniqueName="[tbl_Students].[school_id].[All]" allUniqueName="[tbl_Students].[school_id].[All]" dimensionUniqueName="[tbl_Students]" displayFolder="" count="0" memberValueDatatype="20" unbalanced="0"/>
    <cacheHierarchy uniqueName="[tbl_Students].[School_Name]" caption="School_Name" attribute="1" defaultMemberUniqueName="[tbl_Students].[School_Name].[All]" allUniqueName="[tbl_Students].[School_Name].[All]" dimensionUniqueName="[tbl_Students]" displayFolder="" count="0" memberValueDatatype="130" unbalanced="0"/>
    <cacheHierarchy uniqueName="[tbl_Students].[Age_Group]" caption="Age_Group" attribute="1" defaultMemberUniqueName="[tbl_Students].[Age_Group].[All]" allUniqueName="[tbl_Students].[Age_Group].[All]" dimensionUniqueName="[tbl_Students]" displayFolder="" count="2" memberValueDatatype="130" unbalanced="0">
      <fieldsUsage count="2">
        <fieldUsage x="-1"/>
        <fieldUsage x="2"/>
      </fieldsUsage>
    </cacheHierarchy>
    <cacheHierarchy uniqueName="[Measures].[Sum of age]" caption="Sum of age" measure="1" displayFolder="" measureGroup="tbl_Students" count="0">
      <extLst>
        <ext xmlns:x15="http://schemas.microsoft.com/office/spreadsheetml/2010/11/main" uri="{B97F6D7D-B522-45F9-BDA1-12C45D357490}">
          <x15:cacheHierarchy aggregatedColumn="35"/>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3"/>
        </ext>
      </extLst>
    </cacheHierarchy>
    <cacheHierarchy uniqueName="[Measures].[Count of student_id]" caption="Count of student_id" measure="1" displayFolder="" measureGroup="tbl_Students" count="0" oneField="1">
      <fieldsUsage count="1">
        <fieldUsage x="1"/>
      </fieldsUsage>
      <extLst>
        <ext xmlns:x15="http://schemas.microsoft.com/office/spreadsheetml/2010/11/main" uri="{B97F6D7D-B522-45F9-BDA1-12C45D357490}">
          <x15:cacheHierarchy aggregatedColumn="33"/>
        </ext>
      </extLst>
    </cacheHierarchy>
    <cacheHierarchy uniqueName="[Measures].[Average Final Grade]" caption="Average Final Grade" measure="1" displayFolder="" measureGroup="tbl_Grades" count="0"/>
    <cacheHierarchy uniqueName="[Measures].[Pass Rate (%)]" caption="Pass Rate (%)" measure="1" displayFolder="" measureGroup="tbl_Grades" count="0"/>
    <cacheHierarchy uniqueName="[Measures].[Avg Absences]" caption="Avg Absences" measure="1" displayFolder="" measureGroup="tbl_Grades" count="0"/>
    <cacheHierarchy uniqueName="[Measures].[High Absentee Count]" caption="High Absentee Count" measure="1" displayFolder="" measureGroup="tbl_Grades" count="0"/>
    <cacheHierarchy uniqueName="[Measures].[Grade Ratio]" caption="Grade Ratio" measure="1" displayFolder="" measureGroup="tbl_Grades" count="0"/>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dimensions count="7">
    <dimension measure="1" name="Measures" uniqueName="[Measures]" caption="Measures"/>
    <dimension name="tbl_FamilyBackground" uniqueName="[tbl_FamilyBackground]" caption="tbl_FamilyBackground"/>
    <dimension name="tbl_Grades" uniqueName="[tbl_Grades]" caption="tbl_Grades"/>
    <dimension name="tbl_Lifestyle" uniqueName="[tbl_Lifestyle]" caption="tbl_Lifestyle"/>
    <dimension name="tbl_SchoolLife" uniqueName="[tbl_SchoolLife]" caption="tbl_SchoolLife"/>
    <dimension name="tbl_Schools" uniqueName="[tbl_Schools]" caption="tbl_Schools"/>
    <dimension name="tbl_Students" uniqueName="[tbl_Students]" caption="tbl_Students"/>
  </dimensions>
  <measureGroups count="6">
    <measureGroup name="tbl_FamilyBackground" caption="tbl_FamilyBackground"/>
    <measureGroup name="tbl_Grades" caption="tbl_Grades"/>
    <measureGroup name="tbl_Lifestyle" caption="tbl_Lifestyle"/>
    <measureGroup name="tbl_SchoolLife" caption="tbl_SchoolLife"/>
    <measureGroup name="tbl_Schools" caption="tbl_Schools"/>
    <measureGroup name="tbl_Students" caption="tbl_Students"/>
  </measureGroups>
  <maps count="15">
    <map measureGroup="0" dimension="1"/>
    <map measureGroup="0" dimension="5"/>
    <map measureGroup="0" dimension="6"/>
    <map measureGroup="1" dimension="2"/>
    <map measureGroup="1" dimension="5"/>
    <map measureGroup="1" dimension="6"/>
    <map measureGroup="2" dimension="3"/>
    <map measureGroup="2" dimension="5"/>
    <map measureGroup="2" dimension="6"/>
    <map measureGroup="3" dimension="4"/>
    <map measureGroup="3" dimension="5"/>
    <map measureGroup="3" dimension="6"/>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alts Caramel" refreshedDate="46179.84129733796" backgroundQuery="1" createdVersion="3" refreshedVersion="8" minRefreshableVersion="3" recordCount="0" tupleCache="1" xr:uid="{5A459791-EA33-4E16-BA9D-E2EBF203C942}">
  <cacheSource type="external" connectionId="7"/>
  <cacheFields count="1">
    <cacheField name="[Measures].[MeasuresLevel]" caption="MeasuresLevel" numFmtId="0">
      <sharedItems count="4">
        <s v="[Measures].[High Absentee Count]" c="High Absentee Count"/>
        <s v="[Measures].[Avg Absences]" c="Avg Absences"/>
        <s v="[Measures].[Pass Rate (%)]" c="Pass Rate (%)"/>
        <s v="[Measures].[Average Final Grade]" c="Average Final Grade"/>
      </sharedItems>
    </cacheField>
  </cacheFields>
  <cacheHierarchies count="59">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tbl_FamilyBackground].[student_id]" caption="student_id" attribute="1" defaultMemberUniqueName="[tbl_FamilyBackground].[student_id].[All]" allUniqueName="[tbl_FamilyBackground].[student_id].[All]" dimensionUniqueName="[tbl_FamilyBackground]" displayFolder="" count="2"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2"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2"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2"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2" memberValueDatatype="130" unbalanced="0"/>
    <cacheHierarchy uniqueName="[tbl_Grades].[student_id]" caption="student_id" attribute="1" defaultMemberUniqueName="[tbl_Grades].[student_id].[All]" allUniqueName="[tbl_Grades].[student_id].[All]" dimensionUniqueName="[tbl_Grades]" displayFolder="" count="2" memberValueDatatype="20" unbalanced="0"/>
    <cacheHierarchy uniqueName="[tbl_Grades].[grade_1]" caption="grade_1" attribute="1" defaultMemberUniqueName="[tbl_Grades].[grade_1].[All]" allUniqueName="[tbl_Grades].[grade_1].[All]" dimensionUniqueName="[tbl_Grades]" displayFolder="" count="2" memberValueDatatype="20" unbalanced="0"/>
    <cacheHierarchy uniqueName="[tbl_Grades].[grade_2]" caption="grade_2" attribute="1" defaultMemberUniqueName="[tbl_Grades].[grade_2].[All]" allUniqueName="[tbl_Grades].[grade_2].[All]" dimensionUniqueName="[tbl_Grades]" displayFolder="" count="2" memberValueDatatype="20" unbalanced="0"/>
    <cacheHierarchy uniqueName="[tbl_Grades].[final_grade]" caption="final_grade" attribute="1" defaultMemberUniqueName="[tbl_Grades].[final_grade].[All]" allUniqueName="[tbl_Grades].[final_grade].[All]" dimensionUniqueName="[tbl_Grades]" displayFolder="" count="2" memberValueDatatype="20" unbalanced="0"/>
    <cacheHierarchy uniqueName="[tbl_Lifestyle].[student_id]" caption="student_id" attribute="1" defaultMemberUniqueName="[tbl_Lifestyle].[student_id].[All]" allUniqueName="[tbl_Lifestyle].[student_id].[All]" dimensionUniqueName="[tbl_Lifestyle]" displayFolder="" count="2" memberValueDatatype="20" unbalanced="0"/>
    <cacheHierarchy uniqueName="[tbl_Lifestyle].[activities]" caption="activities" attribute="1" defaultMemberUniqueName="[tbl_Lifestyle].[activities].[All]" allUniqueName="[tbl_Lifestyle].[activities].[All]" dimensionUniqueName="[tbl_Lifestyle]" displayFolder="" count="2" memberValueDatatype="130" unbalanced="0"/>
    <cacheHierarchy uniqueName="[tbl_Lifestyle].[internet_access]" caption="internet_access" attribute="1" defaultMemberUniqueName="[tbl_Lifestyle].[internet_access].[All]" allUniqueName="[tbl_Lifestyle].[internet_access].[All]" dimensionUniqueName="[tbl_Lifestyle]" displayFolder="" count="2"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2"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2" memberValueDatatype="20" unbalanced="0"/>
    <cacheHierarchy uniqueName="[tbl_Lifestyle].[free_time]" caption="free_time" attribute="1" defaultMemberUniqueName="[tbl_Lifestyle].[free_time].[All]" allUniqueName="[tbl_Lifestyle].[free_time].[All]" dimensionUniqueName="[tbl_Lifestyle]" displayFolder="" count="2" memberValueDatatype="20" unbalanced="0"/>
    <cacheHierarchy uniqueName="[tbl_Lifestyle].[social]" caption="social" attribute="1" defaultMemberUniqueName="[tbl_Lifestyle].[social].[All]" allUniqueName="[tbl_Lifestyle].[social].[All]" dimensionUniqueName="[tbl_Lifestyle]" displayFolder="" count="2" memberValueDatatype="20" unbalanced="0"/>
    <cacheHierarchy uniqueName="[tbl_Lifestyle].[weekday_alcohol]" caption="weekday_alcohol" attribute="1" defaultMemberUniqueName="[tbl_Lifestyle].[weekday_alcohol].[All]" allUniqueName="[tbl_Lifestyle].[weekday_alcohol].[All]" dimensionUniqueName="[tbl_Lifestyle]" displayFolder="" count="2" memberValueDatatype="20" unbalanced="0"/>
    <cacheHierarchy uniqueName="[tbl_Lifestyle].[weekend_alcohol]" caption="weekend_alcohol" attribute="1" defaultMemberUniqueName="[tbl_Lifestyle].[weekend_alcohol].[All]" allUniqueName="[tbl_Lifestyle].[weekend_alcohol].[All]" dimensionUniqueName="[tbl_Lifestyle]" displayFolder="" count="2" memberValueDatatype="20" unbalanced="0"/>
    <cacheHierarchy uniqueName="[tbl_Lifestyle].[health]" caption="health" attribute="1" defaultMemberUniqueName="[tbl_Lifestyle].[health].[All]" allUniqueName="[tbl_Lifestyle].[health].[All]" dimensionUniqueName="[tbl_Lifestyle]" displayFolder="" count="2" memberValueDatatype="20" unbalanced="0"/>
    <cacheHierarchy uniqueName="[tbl_Lifestyle].[absences]" caption="absences" attribute="1" defaultMemberUniqueName="[tbl_Lifestyle].[absences].[All]" allUniqueName="[tbl_Lifestyle].[absences].[All]" dimensionUniqueName="[tbl_Lifestyle]" displayFolder="" count="2" memberValueDatatype="20" unbalanced="0"/>
    <cacheHierarchy uniqueName="[tbl_SchoolLife].[student_id]" caption="student_id" attribute="1" defaultMemberUniqueName="[tbl_SchoolLife].[student_id].[All]" allUniqueName="[tbl_SchoolLife].[student_id].[All]" dimensionUniqueName="[tbl_SchoolLife]" displayFolder="" count="2"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2" memberValueDatatype="130" unbalanced="0"/>
    <cacheHierarchy uniqueName="[tbl_SchoolLife].[travel_time]" caption="travel_time" attribute="1" defaultMemberUniqueName="[tbl_SchoolLife].[travel_time].[All]" allUniqueName="[tbl_SchoolLife].[travel_time].[All]" dimensionUniqueName="[tbl_SchoolLife]" displayFolder="" count="2" memberValueDatatype="130" unbalanced="0"/>
    <cacheHierarchy uniqueName="[tbl_SchoolLife].[study_time]" caption="study_time" attribute="1" defaultMemberUniqueName="[tbl_SchoolLife].[study_time].[All]" allUniqueName="[tbl_SchoolLife].[study_time].[All]" dimensionUniqueName="[tbl_SchoolLife]" displayFolder="" count="2" memberValueDatatype="130" unbalanced="0"/>
    <cacheHierarchy uniqueName="[tbl_SchoolLife].[class_failures]" caption="class_failures" attribute="1" defaultMemberUniqueName="[tbl_SchoolLife].[class_failures].[All]" allUniqueName="[tbl_SchoolLife].[class_failures].[All]" dimensionUniqueName="[tbl_SchoolLife]" displayFolder="" count="2" memberValueDatatype="20" unbalanced="0"/>
    <cacheHierarchy uniqueName="[tbl_SchoolLife].[school_support]" caption="school_support" attribute="1" defaultMemberUniqueName="[tbl_SchoolLife].[school_support].[All]" allUniqueName="[tbl_SchoolLife].[school_support].[All]" dimensionUniqueName="[tbl_SchoolLife]" displayFolder="" count="2" memberValueDatatype="130" unbalanced="0"/>
    <cacheHierarchy uniqueName="[tbl_SchoolLife].[family_support]" caption="family_support" attribute="1" defaultMemberUniqueName="[tbl_SchoolLife].[family_support].[All]" allUniqueName="[tbl_SchoolLife].[family_support].[All]" dimensionUniqueName="[tbl_SchoolLife]" displayFolder="" count="2"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2" memberValueDatatype="130" unbalanced="0"/>
    <cacheHierarchy uniqueName="[tbl_SchoolLife].[nursery_school]" caption="nursery_school" attribute="1" defaultMemberUniqueName="[tbl_SchoolLife].[nursery_school].[All]" allUniqueName="[tbl_SchoolLife].[nursery_school].[All]" dimensionUniqueName="[tbl_SchoolLife]" displayFolder="" count="2" memberValueDatatype="130" unbalanced="0"/>
    <cacheHierarchy uniqueName="[tbl_SchoolLife].[higher_ed]" caption="higher_ed" attribute="1" defaultMemberUniqueName="[tbl_SchoolLife].[higher_ed].[All]" allUniqueName="[tbl_SchoolLife].[higher_ed].[All]" dimensionUniqueName="[tbl_SchoolLife]" displayFolder="" count="2" memberValueDatatype="130" unbalanced="0"/>
    <cacheHierarchy uniqueName="[tbl_Schools].[school_id]" caption="school_id" attribute="1" defaultMemberUniqueName="[tbl_Schools].[school_id].[All]" allUniqueName="[tbl_Schools].[school_id].[All]" dimensionUniqueName="[tbl_Schools]" displayFolder="" count="2" memberValueDatatype="20" unbalanced="0"/>
    <cacheHierarchy uniqueName="[tbl_Schools].[school_code]" caption="school_code" attribute="1" defaultMemberUniqueName="[tbl_Schools].[school_code].[All]" allUniqueName="[tbl_Schools].[school_code].[All]" dimensionUniqueName="[tbl_Schools]" displayFolder="" count="2" memberValueDatatype="130" unbalanced="0"/>
    <cacheHierarchy uniqueName="[tbl_Schools].[school_name]" caption="school_name" attribute="1" defaultMemberUniqueName="[tbl_Schools].[school_name].[All]" allUniqueName="[tbl_Schools].[school_name].[All]" dimensionUniqueName="[tbl_Schools]" displayFolder="" count="2" memberValueDatatype="130" unbalanced="0"/>
    <cacheHierarchy uniqueName="[tbl_Students].[student_id]" caption="student_id" attribute="1" defaultMemberUniqueName="[tbl_Students].[student_id].[All]" allUniqueName="[tbl_Students].[student_id].[All]" dimensionUniqueName="[tbl_Students]" displayFolder="" count="2" memberValueDatatype="20" unbalanced="0"/>
    <cacheHierarchy uniqueName="[tbl_Students].[sex]" caption="sex" attribute="1" defaultMemberUniqueName="[tbl_Students].[sex].[All]" allUniqueName="[tbl_Students].[sex].[All]" dimensionUniqueName="[tbl_Students]" displayFolder="" count="2" memberValueDatatype="130" unbalanced="0"/>
    <cacheHierarchy uniqueName="[tbl_Students].[age]" caption="age" attribute="1" defaultMemberUniqueName="[tbl_Students].[age].[All]" allUniqueName="[tbl_Students].[age].[All]" dimensionUniqueName="[tbl_Students]" displayFolder="" count="2" memberValueDatatype="20" unbalanced="0"/>
    <cacheHierarchy uniqueName="[tbl_Students].[address_type]" caption="address_type" attribute="1" defaultMemberUniqueName="[tbl_Students].[address_type].[All]" allUniqueName="[tbl_Students].[address_type].[All]" dimensionUniqueName="[tbl_Students]" displayFolder="" count="2" memberValueDatatype="130" unbalanced="0"/>
    <cacheHierarchy uniqueName="[tbl_Students].[family_size]" caption="family_size" attribute="1" defaultMemberUniqueName="[tbl_Students].[family_size].[All]" allUniqueName="[tbl_Students].[family_size].[All]" dimensionUniqueName="[tbl_Students]" displayFolder="" count="2" memberValueDatatype="130" unbalanced="0"/>
    <cacheHierarchy uniqueName="[tbl_Students].[parent_status]" caption="parent_status" attribute="1" defaultMemberUniqueName="[tbl_Students].[parent_status].[All]" allUniqueName="[tbl_Students].[parent_status].[All]" dimensionUniqueName="[tbl_Students]" displayFolder="" count="2" memberValueDatatype="130" unbalanced="0"/>
    <cacheHierarchy uniqueName="[tbl_Students].[guardian]" caption="guardian" attribute="1" defaultMemberUniqueName="[tbl_Students].[guardian].[All]" allUniqueName="[tbl_Students].[guardian].[All]" dimensionUniqueName="[tbl_Students]" displayFolder="" count="2" memberValueDatatype="130" unbalanced="0"/>
    <cacheHierarchy uniqueName="[tbl_Students].[school_id]" caption="school_id" attribute="1" defaultMemberUniqueName="[tbl_Students].[school_id].[All]" allUniqueName="[tbl_Students].[school_id].[All]" dimensionUniqueName="[tbl_Students]" displayFolder="" count="2" memberValueDatatype="20" unbalanced="0"/>
    <cacheHierarchy uniqueName="[tbl_Students].[School_Name]" caption="School_Name" attribute="1" defaultMemberUniqueName="[tbl_Students].[School_Name].[All]" allUniqueName="[tbl_Students].[School_Name].[All]" dimensionUniqueName="[tbl_Students]" displayFolder="" count="2" memberValueDatatype="130" unbalanced="0"/>
    <cacheHierarchy uniqueName="[tbl_Students].[Age_Group]" caption="Age_Group" attribute="1" defaultMemberUniqueName="[tbl_Students].[Age_Group].[All]" allUniqueName="[tbl_Students].[Age_Group].[All]" dimensionUniqueName="[tbl_Students]" displayFolder="" count="2" memberValueDatatype="130" unbalanced="0"/>
    <cacheHierarchy uniqueName="[Measures].[Sum of age]" caption="Sum of age" measure="1" displayFolder="" measureGroup="tbl_Students" count="0">
      <extLst>
        <ext xmlns:x15="http://schemas.microsoft.com/office/spreadsheetml/2010/11/main" uri="{B97F6D7D-B522-45F9-BDA1-12C45D357490}">
          <x15:cacheHierarchy aggregatedColumn="36"/>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4"/>
        </ext>
      </extLst>
    </cacheHierarchy>
    <cacheHierarchy uniqueName="[Measures].[Count of student_id]" caption="Count of student_id" measure="1" displayFolder="" measureGroup="tbl_Students" count="0">
      <extLst>
        <ext xmlns:x15="http://schemas.microsoft.com/office/spreadsheetml/2010/11/main" uri="{B97F6D7D-B522-45F9-BDA1-12C45D357490}">
          <x15:cacheHierarchy aggregatedColumn="34"/>
        </ext>
      </extLst>
    </cacheHierarchy>
    <cacheHierarchy uniqueName="[Measures].[Average Final Grade]" caption="Average Final Grade" measure="1" displayFolder="" measureGroup="tbl_Grades" count="0"/>
    <cacheHierarchy uniqueName="[Measures].[Pass Rate (%)]" caption="Pass Rate (%)" measure="1" displayFolder="" measureGroup="tbl_Grades" count="0"/>
    <cacheHierarchy uniqueName="[Measures].[Avg Absences]" caption="Avg Absences" measure="1" displayFolder="" measureGroup="tbl_Grades" count="0"/>
    <cacheHierarchy uniqueName="[Measures].[High Absentee Count]" caption="High Absentee Count" measure="1" displayFolder="" measureGroup="tbl_Grades" count="0"/>
    <cacheHierarchy uniqueName="[Measures].[Grade Ratio]" caption="Grade Ratio" measure="1" displayFolder="" measureGroup="tbl_Grades" count="0"/>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tupleCache>
    <entries count="4">
      <n v="14" in="0">
        <tpls c="1">
          <tpl fld="0" item="0"/>
        </tpls>
      </n>
      <n v="5.7270408163265305" in="1">
        <tpls c="1">
          <tpl fld="0" item="1"/>
        </tpls>
      </n>
      <n v="0.51645569620253162" in="2">
        <tpls c="1">
          <tpl fld="0" item="2"/>
        </tpls>
      </n>
      <n v="10.335917312661499" in="3">
        <tpls c="1">
          <tpl fld="0" item="3"/>
        </tpls>
      </n>
    </entries>
    <queryCache count="4">
      <query mdx="[Measures].[High Absentee Count]">
        <tpls c="1">
          <tpl fld="0" item="0"/>
        </tpls>
      </query>
      <query mdx="[Measures].[Avg Absences]">
        <tpls c="1">
          <tpl fld="0" item="1"/>
        </tpls>
      </query>
      <query mdx="[Measures].[Pass Rate (%)]">
        <tpls c="1">
          <tpl fld="0" item="2"/>
        </tpls>
      </query>
      <query mdx="[Measures].[Average Final Grade]">
        <tpls c="1">
          <tpl fld="0" item="3"/>
        </tpls>
      </query>
    </queryCache>
    <serverFormats count="4">
      <serverFormat format=""/>
      <serverFormat format="0"/>
      <serverFormat format="0.00%;-0.00%;0.00%"/>
      <serverFormat format="0.0"/>
    </serverFormats>
  </tupleCache>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ts Caramel" refreshedDate="46179.860170023145" backgroundQuery="1" createdVersion="8" refreshedVersion="8" minRefreshableVersion="3" recordCount="0" supportSubquery="1" supportAdvancedDrill="1" xr:uid="{0E605075-1F93-4491-ABB0-F8F1348CED9B}">
  <cacheSource type="external" connectionId="7"/>
  <cacheFields count="4">
    <cacheField name="[tbl_Students].[sex].[sex]" caption="sex" numFmtId="0" hierarchy="34" level="1">
      <sharedItems count="2">
        <s v="F"/>
        <s v="M"/>
      </sharedItems>
    </cacheField>
    <cacheField name="[Measures].[Average Final Grade]" caption="Average Final Grade" numFmtId="0" hierarchy="46" level="32767"/>
    <cacheField name="[Measures].[Pass Rate (%)]" caption="Pass Rate (%)" numFmtId="0" hierarchy="47" level="32767"/>
    <cacheField name="[Measures].[Grade Ratio]" caption="Grade Ratio" numFmtId="0" hierarchy="50" level="32767"/>
  </cacheFields>
  <cacheHierarchies count="58">
    <cacheHierarchy uniqueName="[tbl_FamilyBackground].[student_id]" caption="student_id" attribute="1" defaultMemberUniqueName="[tbl_FamilyBackground].[student_id].[All]" allUniqueName="[tbl_FamilyBackground].[student_id].[All]" dimensionUniqueName="[tbl_FamilyBackground]" displayFolder="" count="0"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0"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0"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0"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0" memberValueDatatype="130" unbalanced="0"/>
    <cacheHierarchy uniqueName="[tbl_Grades].[student_id]" caption="student_id" attribute="1" defaultMemberUniqueName="[tbl_Grades].[student_id].[All]" allUniqueName="[tbl_Grades].[student_id].[All]" dimensionUniqueName="[tbl_Grades]" displayFolder="" count="0" memberValueDatatype="20" unbalanced="0"/>
    <cacheHierarchy uniqueName="[tbl_Grades].[grade_1]" caption="grade_1" attribute="1" defaultMemberUniqueName="[tbl_Grades].[grade_1].[All]" allUniqueName="[tbl_Grades].[grade_1].[All]" dimensionUniqueName="[tbl_Grades]" displayFolder="" count="0" memberValueDatatype="20" unbalanced="0"/>
    <cacheHierarchy uniqueName="[tbl_Grades].[grade_2]" caption="grade_2" attribute="1" defaultMemberUniqueName="[tbl_Grades].[grade_2].[All]" allUniqueName="[tbl_Grades].[grade_2].[All]" dimensionUniqueName="[tbl_Grades]" displayFolder="" count="0" memberValueDatatype="20" unbalanced="0"/>
    <cacheHierarchy uniqueName="[tbl_Grades].[final_grade]" caption="final_grade" attribute="1" defaultMemberUniqueName="[tbl_Grades].[final_grade].[All]" allUniqueName="[tbl_Grades].[final_grade].[All]" dimensionUniqueName="[tbl_Grades]" displayFolder="" count="0" memberValueDatatype="20" unbalanced="0"/>
    <cacheHierarchy uniqueName="[tbl_Lifestyle].[student_id]" caption="student_id" attribute="1" defaultMemberUniqueName="[tbl_Lifestyle].[student_id].[All]" allUniqueName="[tbl_Lifestyle].[student_id].[All]" dimensionUniqueName="[tbl_Lifestyle]" displayFolder="" count="0" memberValueDatatype="20" unbalanced="0"/>
    <cacheHierarchy uniqueName="[tbl_Lifestyle].[activities]" caption="activities" attribute="1" defaultMemberUniqueName="[tbl_Lifestyle].[activities].[All]" allUniqueName="[tbl_Lifestyle].[activities].[All]" dimensionUniqueName="[tbl_Lifestyle]" displayFolder="" count="0" memberValueDatatype="130" unbalanced="0"/>
    <cacheHierarchy uniqueName="[tbl_Lifestyle].[internet_access]" caption="internet_access" attribute="1" defaultMemberUniqueName="[tbl_Lifestyle].[internet_access].[All]" allUniqueName="[tbl_Lifestyle].[internet_access].[All]" dimensionUniqueName="[tbl_Lifestyle]" displayFolder="" count="0"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0"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0" memberValueDatatype="20" unbalanced="0"/>
    <cacheHierarchy uniqueName="[tbl_Lifestyle].[free_time]" caption="free_time" attribute="1" defaultMemberUniqueName="[tbl_Lifestyle].[free_time].[All]" allUniqueName="[tbl_Lifestyle].[free_time].[All]" dimensionUniqueName="[tbl_Lifestyle]" displayFolder="" count="0" memberValueDatatype="20" unbalanced="0"/>
    <cacheHierarchy uniqueName="[tbl_Lifestyle].[social]" caption="social" attribute="1" defaultMemberUniqueName="[tbl_Lifestyle].[social].[All]" allUniqueName="[tbl_Lifestyle].[social].[All]" dimensionUniqueName="[tbl_Lifestyle]" displayFolder="" count="0" memberValueDatatype="20" unbalanced="0"/>
    <cacheHierarchy uniqueName="[tbl_Lifestyle].[weekday_alcohol]" caption="weekday_alcohol" attribute="1" defaultMemberUniqueName="[tbl_Lifestyle].[weekday_alcohol].[All]" allUniqueName="[tbl_Lifestyle].[weekday_alcohol].[All]" dimensionUniqueName="[tbl_Lifestyle]" displayFolder="" count="0" memberValueDatatype="20" unbalanced="0"/>
    <cacheHierarchy uniqueName="[tbl_Lifestyle].[weekend_alcohol]" caption="weekend_alcohol" attribute="1" defaultMemberUniqueName="[tbl_Lifestyle].[weekend_alcohol].[All]" allUniqueName="[tbl_Lifestyle].[weekend_alcohol].[All]" dimensionUniqueName="[tbl_Lifestyle]" displayFolder="" count="0" memberValueDatatype="20" unbalanced="0"/>
    <cacheHierarchy uniqueName="[tbl_Lifestyle].[health]" caption="health" attribute="1" defaultMemberUniqueName="[tbl_Lifestyle].[health].[All]" allUniqueName="[tbl_Lifestyle].[health].[All]" dimensionUniqueName="[tbl_Lifestyle]" displayFolder="" count="0" memberValueDatatype="20" unbalanced="0"/>
    <cacheHierarchy uniqueName="[tbl_Lifestyle].[absences]" caption="absences" attribute="1" defaultMemberUniqueName="[tbl_Lifestyle].[absences].[All]" allUniqueName="[tbl_Lifestyle].[absences].[All]" dimensionUniqueName="[tbl_Lifestyle]" displayFolder="" count="0" memberValueDatatype="20" unbalanced="0"/>
    <cacheHierarchy uniqueName="[tbl_SchoolLife].[student_id]" caption="student_id" attribute="1" defaultMemberUniqueName="[tbl_SchoolLife].[student_id].[All]" allUniqueName="[tbl_SchoolLife].[student_id].[All]" dimensionUniqueName="[tbl_SchoolLife]" displayFolder="" count="0"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0" memberValueDatatype="130" unbalanced="0"/>
    <cacheHierarchy uniqueName="[tbl_SchoolLife].[travel_time]" caption="travel_time" attribute="1" defaultMemberUniqueName="[tbl_SchoolLife].[travel_time].[All]" allUniqueName="[tbl_SchoolLife].[travel_time].[All]" dimensionUniqueName="[tbl_SchoolLife]" displayFolder="" count="0" memberValueDatatype="130" unbalanced="0"/>
    <cacheHierarchy uniqueName="[tbl_SchoolLife].[study_time]" caption="study_time" attribute="1" defaultMemberUniqueName="[tbl_SchoolLife].[study_time].[All]" allUniqueName="[tbl_SchoolLife].[study_time].[All]" dimensionUniqueName="[tbl_SchoolLife]" displayFolder="" count="0" memberValueDatatype="130" unbalanced="0"/>
    <cacheHierarchy uniqueName="[tbl_SchoolLife].[class_failures]" caption="class_failures" attribute="1" defaultMemberUniqueName="[tbl_SchoolLife].[class_failures].[All]" allUniqueName="[tbl_SchoolLife].[class_failures].[All]" dimensionUniqueName="[tbl_SchoolLife]" displayFolder="" count="0" memberValueDatatype="20" unbalanced="0"/>
    <cacheHierarchy uniqueName="[tbl_SchoolLife].[school_support]" caption="school_support" attribute="1" defaultMemberUniqueName="[tbl_SchoolLife].[school_support].[All]" allUniqueName="[tbl_SchoolLife].[school_support].[All]" dimensionUniqueName="[tbl_SchoolLife]" displayFolder="" count="0" memberValueDatatype="130" unbalanced="0"/>
    <cacheHierarchy uniqueName="[tbl_SchoolLife].[family_support]" caption="family_support" attribute="1" defaultMemberUniqueName="[tbl_SchoolLife].[family_support].[All]" allUniqueName="[tbl_SchoolLife].[family_support].[All]" dimensionUniqueName="[tbl_SchoolLife]" displayFolder="" count="0"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0" memberValueDatatype="130" unbalanced="0"/>
    <cacheHierarchy uniqueName="[tbl_SchoolLife].[nursery_school]" caption="nursery_school" attribute="1" defaultMemberUniqueName="[tbl_SchoolLife].[nursery_school].[All]" allUniqueName="[tbl_SchoolLife].[nursery_school].[All]" dimensionUniqueName="[tbl_SchoolLife]" displayFolder="" count="0" memberValueDatatype="130" unbalanced="0"/>
    <cacheHierarchy uniqueName="[tbl_SchoolLife].[higher_ed]" caption="higher_ed" attribute="1" defaultMemberUniqueName="[tbl_SchoolLife].[higher_ed].[All]" allUniqueName="[tbl_SchoolLife].[higher_ed].[All]" dimensionUniqueName="[tbl_SchoolLife]" displayFolder="" count="0" memberValueDatatype="130" unbalanced="0"/>
    <cacheHierarchy uniqueName="[tbl_Schools].[school_id]" caption="school_id" attribute="1" defaultMemberUniqueName="[tbl_Schools].[school_id].[All]" allUniqueName="[tbl_Schools].[school_id].[All]" dimensionUniqueName="[tbl_Schools]" displayFolder="" count="0" memberValueDatatype="20" unbalanced="0"/>
    <cacheHierarchy uniqueName="[tbl_Schools].[school_code]" caption="school_code" attribute="1" defaultMemberUniqueName="[tbl_Schools].[school_code].[All]" allUniqueName="[tbl_Schools].[school_code].[All]" dimensionUniqueName="[tbl_Schools]" displayFolder="" count="0" memberValueDatatype="130" unbalanced="0"/>
    <cacheHierarchy uniqueName="[tbl_Schools].[school_name]" caption="school_name" attribute="1" defaultMemberUniqueName="[tbl_Schools].[school_name].[All]" allUniqueName="[tbl_Schools].[school_name].[All]" dimensionUniqueName="[tbl_Schools]" displayFolder="" count="0" memberValueDatatype="130" unbalanced="0"/>
    <cacheHierarchy uniqueName="[tbl_Students].[student_id]" caption="student_id" attribute="1" defaultMemberUniqueName="[tbl_Students].[student_id].[All]" allUniqueName="[tbl_Students].[student_id].[All]" dimensionUniqueName="[tbl_Students]" displayFolder="" count="0" memberValueDatatype="20" unbalanced="0"/>
    <cacheHierarchy uniqueName="[tbl_Students].[sex]" caption="sex" attribute="1" defaultMemberUniqueName="[tbl_Students].[sex].[All]" allUniqueName="[tbl_Students].[sex].[All]" dimensionUniqueName="[tbl_Students]" displayFolder="" count="2" memberValueDatatype="130" unbalanced="0">
      <fieldsUsage count="2">
        <fieldUsage x="-1"/>
        <fieldUsage x="0"/>
      </fieldsUsage>
    </cacheHierarchy>
    <cacheHierarchy uniqueName="[tbl_Students].[age]" caption="age" attribute="1" defaultMemberUniqueName="[tbl_Students].[age].[All]" allUniqueName="[tbl_Students].[age].[All]" dimensionUniqueName="[tbl_Students]" displayFolder="" count="0" memberValueDatatype="20" unbalanced="0"/>
    <cacheHierarchy uniqueName="[tbl_Students].[address_type]" caption="address_type" attribute="1" defaultMemberUniqueName="[tbl_Students].[address_type].[All]" allUniqueName="[tbl_Students].[address_type].[All]" dimensionUniqueName="[tbl_Students]" displayFolder="" count="0" memberValueDatatype="130" unbalanced="0"/>
    <cacheHierarchy uniqueName="[tbl_Students].[family_size]" caption="family_size" attribute="1" defaultMemberUniqueName="[tbl_Students].[family_size].[All]" allUniqueName="[tbl_Students].[family_size].[All]" dimensionUniqueName="[tbl_Students]" displayFolder="" count="0" memberValueDatatype="130" unbalanced="0"/>
    <cacheHierarchy uniqueName="[tbl_Students].[parent_status]" caption="parent_status" attribute="1" defaultMemberUniqueName="[tbl_Students].[parent_status].[All]" allUniqueName="[tbl_Students].[parent_status].[All]" dimensionUniqueName="[tbl_Students]" displayFolder="" count="0" memberValueDatatype="130" unbalanced="0"/>
    <cacheHierarchy uniqueName="[tbl_Students].[guardian]" caption="guardian" attribute="1" defaultMemberUniqueName="[tbl_Students].[guardian].[All]" allUniqueName="[tbl_Students].[guardian].[All]" dimensionUniqueName="[tbl_Students]" displayFolder="" count="0" memberValueDatatype="130" unbalanced="0"/>
    <cacheHierarchy uniqueName="[tbl_Students].[school_id]" caption="school_id" attribute="1" defaultMemberUniqueName="[tbl_Students].[school_id].[All]" allUniqueName="[tbl_Students].[school_id].[All]" dimensionUniqueName="[tbl_Students]" displayFolder="" count="0" memberValueDatatype="20" unbalanced="0"/>
    <cacheHierarchy uniqueName="[tbl_Students].[School_Name]" caption="School_Name" attribute="1" defaultMemberUniqueName="[tbl_Students].[School_Name].[All]" allUniqueName="[tbl_Students].[School_Name].[All]" dimensionUniqueName="[tbl_Students]" displayFolder="" count="0" memberValueDatatype="130" unbalanced="0"/>
    <cacheHierarchy uniqueName="[tbl_Students].[Age_Group]" caption="Age_Group" attribute="1" defaultMemberUniqueName="[tbl_Students].[Age_Group].[All]" allUniqueName="[tbl_Students].[Age_Group].[All]" dimensionUniqueName="[tbl_Students]" displayFolder="" count="0" memberValueDatatype="130" unbalanced="0"/>
    <cacheHierarchy uniqueName="[Measures].[Sum of age]" caption="Sum of age" measure="1" displayFolder="" measureGroup="tbl_Students" count="0">
      <extLst>
        <ext xmlns:x15="http://schemas.microsoft.com/office/spreadsheetml/2010/11/main" uri="{B97F6D7D-B522-45F9-BDA1-12C45D357490}">
          <x15:cacheHierarchy aggregatedColumn="35"/>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3"/>
        </ext>
      </extLst>
    </cacheHierarchy>
    <cacheHierarchy uniqueName="[Measures].[Count of student_id]" caption="Count of student_id" measure="1" displayFolder="" measureGroup="tbl_Students" count="0">
      <extLst>
        <ext xmlns:x15="http://schemas.microsoft.com/office/spreadsheetml/2010/11/main" uri="{B97F6D7D-B522-45F9-BDA1-12C45D357490}">
          <x15:cacheHierarchy aggregatedColumn="33"/>
        </ext>
      </extLst>
    </cacheHierarchy>
    <cacheHierarchy uniqueName="[Measures].[Average Final Grade]" caption="Average Final Grade" measure="1" displayFolder="" measureGroup="tbl_Grades" count="0" oneField="1">
      <fieldsUsage count="1">
        <fieldUsage x="1"/>
      </fieldsUsage>
    </cacheHierarchy>
    <cacheHierarchy uniqueName="[Measures].[Pass Rate (%)]" caption="Pass Rate (%)" measure="1" displayFolder="" measureGroup="tbl_Grades" count="0" oneField="1">
      <fieldsUsage count="1">
        <fieldUsage x="2"/>
      </fieldsUsage>
    </cacheHierarchy>
    <cacheHierarchy uniqueName="[Measures].[Avg Absences]" caption="Avg Absences" measure="1" displayFolder="" measureGroup="tbl_Grades" count="0"/>
    <cacheHierarchy uniqueName="[Measures].[High Absentee Count]" caption="High Absentee Count" measure="1" displayFolder="" measureGroup="tbl_Grades" count="0"/>
    <cacheHierarchy uniqueName="[Measures].[Grade Ratio]" caption="Grade Ratio" measure="1" displayFolder="" measureGroup="tbl_Grades" count="0" oneField="1">
      <fieldsUsage count="1">
        <fieldUsage x="3"/>
      </fieldsUsage>
    </cacheHierarchy>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dimensions count="7">
    <dimension measure="1" name="Measures" uniqueName="[Measures]" caption="Measures"/>
    <dimension name="tbl_FamilyBackground" uniqueName="[tbl_FamilyBackground]" caption="tbl_FamilyBackground"/>
    <dimension name="tbl_Grades" uniqueName="[tbl_Grades]" caption="tbl_Grades"/>
    <dimension name="tbl_Lifestyle" uniqueName="[tbl_Lifestyle]" caption="tbl_Lifestyle"/>
    <dimension name="tbl_SchoolLife" uniqueName="[tbl_SchoolLife]" caption="tbl_SchoolLife"/>
    <dimension name="tbl_Schools" uniqueName="[tbl_Schools]" caption="tbl_Schools"/>
    <dimension name="tbl_Students" uniqueName="[tbl_Students]" caption="tbl_Students"/>
  </dimensions>
  <measureGroups count="6">
    <measureGroup name="tbl_FamilyBackground" caption="tbl_FamilyBackground"/>
    <measureGroup name="tbl_Grades" caption="tbl_Grades"/>
    <measureGroup name="tbl_Lifestyle" caption="tbl_Lifestyle"/>
    <measureGroup name="tbl_SchoolLife" caption="tbl_SchoolLife"/>
    <measureGroup name="tbl_Schools" caption="tbl_Schools"/>
    <measureGroup name="tbl_Students" caption="tbl_Students"/>
  </measureGroups>
  <maps count="15">
    <map measureGroup="0" dimension="1"/>
    <map measureGroup="0" dimension="5"/>
    <map measureGroup="0" dimension="6"/>
    <map measureGroup="1" dimension="2"/>
    <map measureGroup="1" dimension="5"/>
    <map measureGroup="1" dimension="6"/>
    <map measureGroup="2" dimension="3"/>
    <map measureGroup="2" dimension="5"/>
    <map measureGroup="2" dimension="6"/>
    <map measureGroup="3" dimension="4"/>
    <map measureGroup="3" dimension="5"/>
    <map measureGroup="3" dimension="6"/>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ts Caramel" refreshedDate="46179.860244791664" backgroundQuery="1" createdVersion="8" refreshedVersion="8" minRefreshableVersion="3" recordCount="0" supportSubquery="1" supportAdvancedDrill="1" xr:uid="{318E0488-FCBD-4558-99F7-1DFA49C8398B}">
  <cacheSource type="external" connectionId="7"/>
  <cacheFields count="4">
    <cacheField name="[tbl_Students].[address_type].[address_type]" caption="address_type" numFmtId="0" hierarchy="36" level="1">
      <sharedItems count="1">
        <s v="Rural"/>
      </sharedItems>
    </cacheField>
    <cacheField name="[Measures].[Average Final Grade]" caption="Average Final Grade" numFmtId="0" hierarchy="46" level="32767"/>
    <cacheField name="[Measures].[High Absentee Count]" caption="High Absentee Count" numFmtId="0" hierarchy="49" level="32767"/>
    <cacheField name="[tbl_Students].[Age_Group].[Age_Group]" caption="Age_Group" numFmtId="0" hierarchy="42" level="1">
      <sharedItems count="4">
        <s v="15-16"/>
        <s v="17-18"/>
        <s v="19-20"/>
        <s v="21-22"/>
      </sharedItems>
    </cacheField>
  </cacheFields>
  <cacheHierarchies count="58">
    <cacheHierarchy uniqueName="[tbl_FamilyBackground].[student_id]" caption="student_id" attribute="1" defaultMemberUniqueName="[tbl_FamilyBackground].[student_id].[All]" allUniqueName="[tbl_FamilyBackground].[student_id].[All]" dimensionUniqueName="[tbl_FamilyBackground]" displayFolder="" count="0"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0"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0"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0"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0" memberValueDatatype="130" unbalanced="0"/>
    <cacheHierarchy uniqueName="[tbl_Grades].[student_id]" caption="student_id" attribute="1" defaultMemberUniqueName="[tbl_Grades].[student_id].[All]" allUniqueName="[tbl_Grades].[student_id].[All]" dimensionUniqueName="[tbl_Grades]" displayFolder="" count="0" memberValueDatatype="20" unbalanced="0"/>
    <cacheHierarchy uniqueName="[tbl_Grades].[grade_1]" caption="grade_1" attribute="1" defaultMemberUniqueName="[tbl_Grades].[grade_1].[All]" allUniqueName="[tbl_Grades].[grade_1].[All]" dimensionUniqueName="[tbl_Grades]" displayFolder="" count="0" memberValueDatatype="20" unbalanced="0"/>
    <cacheHierarchy uniqueName="[tbl_Grades].[grade_2]" caption="grade_2" attribute="1" defaultMemberUniqueName="[tbl_Grades].[grade_2].[All]" allUniqueName="[tbl_Grades].[grade_2].[All]" dimensionUniqueName="[tbl_Grades]" displayFolder="" count="0" memberValueDatatype="20" unbalanced="0"/>
    <cacheHierarchy uniqueName="[tbl_Grades].[final_grade]" caption="final_grade" attribute="1" defaultMemberUniqueName="[tbl_Grades].[final_grade].[All]" allUniqueName="[tbl_Grades].[final_grade].[All]" dimensionUniqueName="[tbl_Grades]" displayFolder="" count="0" memberValueDatatype="20" unbalanced="0"/>
    <cacheHierarchy uniqueName="[tbl_Lifestyle].[student_id]" caption="student_id" attribute="1" defaultMemberUniqueName="[tbl_Lifestyle].[student_id].[All]" allUniqueName="[tbl_Lifestyle].[student_id].[All]" dimensionUniqueName="[tbl_Lifestyle]" displayFolder="" count="0" memberValueDatatype="20" unbalanced="0"/>
    <cacheHierarchy uniqueName="[tbl_Lifestyle].[activities]" caption="activities" attribute="1" defaultMemberUniqueName="[tbl_Lifestyle].[activities].[All]" allUniqueName="[tbl_Lifestyle].[activities].[All]" dimensionUniqueName="[tbl_Lifestyle]" displayFolder="" count="0" memberValueDatatype="130" unbalanced="0"/>
    <cacheHierarchy uniqueName="[tbl_Lifestyle].[internet_access]" caption="internet_access" attribute="1" defaultMemberUniqueName="[tbl_Lifestyle].[internet_access].[All]" allUniqueName="[tbl_Lifestyle].[internet_access].[All]" dimensionUniqueName="[tbl_Lifestyle]" displayFolder="" count="0"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0"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0" memberValueDatatype="20" unbalanced="0"/>
    <cacheHierarchy uniqueName="[tbl_Lifestyle].[free_time]" caption="free_time" attribute="1" defaultMemberUniqueName="[tbl_Lifestyle].[free_time].[All]" allUniqueName="[tbl_Lifestyle].[free_time].[All]" dimensionUniqueName="[tbl_Lifestyle]" displayFolder="" count="0" memberValueDatatype="20" unbalanced="0"/>
    <cacheHierarchy uniqueName="[tbl_Lifestyle].[social]" caption="social" attribute="1" defaultMemberUniqueName="[tbl_Lifestyle].[social].[All]" allUniqueName="[tbl_Lifestyle].[social].[All]" dimensionUniqueName="[tbl_Lifestyle]" displayFolder="" count="0" memberValueDatatype="20" unbalanced="0"/>
    <cacheHierarchy uniqueName="[tbl_Lifestyle].[weekday_alcohol]" caption="weekday_alcohol" attribute="1" defaultMemberUniqueName="[tbl_Lifestyle].[weekday_alcohol].[All]" allUniqueName="[tbl_Lifestyle].[weekday_alcohol].[All]" dimensionUniqueName="[tbl_Lifestyle]" displayFolder="" count="0" memberValueDatatype="20" unbalanced="0"/>
    <cacheHierarchy uniqueName="[tbl_Lifestyle].[weekend_alcohol]" caption="weekend_alcohol" attribute="1" defaultMemberUniqueName="[tbl_Lifestyle].[weekend_alcohol].[All]" allUniqueName="[tbl_Lifestyle].[weekend_alcohol].[All]" dimensionUniqueName="[tbl_Lifestyle]" displayFolder="" count="0" memberValueDatatype="20" unbalanced="0"/>
    <cacheHierarchy uniqueName="[tbl_Lifestyle].[health]" caption="health" attribute="1" defaultMemberUniqueName="[tbl_Lifestyle].[health].[All]" allUniqueName="[tbl_Lifestyle].[health].[All]" dimensionUniqueName="[tbl_Lifestyle]" displayFolder="" count="0" memberValueDatatype="20" unbalanced="0"/>
    <cacheHierarchy uniqueName="[tbl_Lifestyle].[absences]" caption="absences" attribute="1" defaultMemberUniqueName="[tbl_Lifestyle].[absences].[All]" allUniqueName="[tbl_Lifestyle].[absences].[All]" dimensionUniqueName="[tbl_Lifestyle]" displayFolder="" count="0" memberValueDatatype="20" unbalanced="0"/>
    <cacheHierarchy uniqueName="[tbl_SchoolLife].[student_id]" caption="student_id" attribute="1" defaultMemberUniqueName="[tbl_SchoolLife].[student_id].[All]" allUniqueName="[tbl_SchoolLife].[student_id].[All]" dimensionUniqueName="[tbl_SchoolLife]" displayFolder="" count="0"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0" memberValueDatatype="130" unbalanced="0"/>
    <cacheHierarchy uniqueName="[tbl_SchoolLife].[travel_time]" caption="travel_time" attribute="1" defaultMemberUniqueName="[tbl_SchoolLife].[travel_time].[All]" allUniqueName="[tbl_SchoolLife].[travel_time].[All]" dimensionUniqueName="[tbl_SchoolLife]" displayFolder="" count="0" memberValueDatatype="130" unbalanced="0"/>
    <cacheHierarchy uniqueName="[tbl_SchoolLife].[study_time]" caption="study_time" attribute="1" defaultMemberUniqueName="[tbl_SchoolLife].[study_time].[All]" allUniqueName="[tbl_SchoolLife].[study_time].[All]" dimensionUniqueName="[tbl_SchoolLife]" displayFolder="" count="0" memberValueDatatype="130" unbalanced="0"/>
    <cacheHierarchy uniqueName="[tbl_SchoolLife].[class_failures]" caption="class_failures" attribute="1" defaultMemberUniqueName="[tbl_SchoolLife].[class_failures].[All]" allUniqueName="[tbl_SchoolLife].[class_failures].[All]" dimensionUniqueName="[tbl_SchoolLife]" displayFolder="" count="0" memberValueDatatype="20" unbalanced="0"/>
    <cacheHierarchy uniqueName="[tbl_SchoolLife].[school_support]" caption="school_support" attribute="1" defaultMemberUniqueName="[tbl_SchoolLife].[school_support].[All]" allUniqueName="[tbl_SchoolLife].[school_support].[All]" dimensionUniqueName="[tbl_SchoolLife]" displayFolder="" count="0" memberValueDatatype="130" unbalanced="0"/>
    <cacheHierarchy uniqueName="[tbl_SchoolLife].[family_support]" caption="family_support" attribute="1" defaultMemberUniqueName="[tbl_SchoolLife].[family_support].[All]" allUniqueName="[tbl_SchoolLife].[family_support].[All]" dimensionUniqueName="[tbl_SchoolLife]" displayFolder="" count="0"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0" memberValueDatatype="130" unbalanced="0"/>
    <cacheHierarchy uniqueName="[tbl_SchoolLife].[nursery_school]" caption="nursery_school" attribute="1" defaultMemberUniqueName="[tbl_SchoolLife].[nursery_school].[All]" allUniqueName="[tbl_SchoolLife].[nursery_school].[All]" dimensionUniqueName="[tbl_SchoolLife]" displayFolder="" count="0" memberValueDatatype="130" unbalanced="0"/>
    <cacheHierarchy uniqueName="[tbl_SchoolLife].[higher_ed]" caption="higher_ed" attribute="1" defaultMemberUniqueName="[tbl_SchoolLife].[higher_ed].[All]" allUniqueName="[tbl_SchoolLife].[higher_ed].[All]" dimensionUniqueName="[tbl_SchoolLife]" displayFolder="" count="0" memberValueDatatype="130" unbalanced="0"/>
    <cacheHierarchy uniqueName="[tbl_Schools].[school_id]" caption="school_id" attribute="1" defaultMemberUniqueName="[tbl_Schools].[school_id].[All]" allUniqueName="[tbl_Schools].[school_id].[All]" dimensionUniqueName="[tbl_Schools]" displayFolder="" count="0" memberValueDatatype="20" unbalanced="0"/>
    <cacheHierarchy uniqueName="[tbl_Schools].[school_code]" caption="school_code" attribute="1" defaultMemberUniqueName="[tbl_Schools].[school_code].[All]" allUniqueName="[tbl_Schools].[school_code].[All]" dimensionUniqueName="[tbl_Schools]" displayFolder="" count="0" memberValueDatatype="130" unbalanced="0"/>
    <cacheHierarchy uniqueName="[tbl_Schools].[school_name]" caption="school_name" attribute="1" defaultMemberUniqueName="[tbl_Schools].[school_name].[All]" allUniqueName="[tbl_Schools].[school_name].[All]" dimensionUniqueName="[tbl_Schools]" displayFolder="" count="0" memberValueDatatype="130" unbalanced="0"/>
    <cacheHierarchy uniqueName="[tbl_Students].[student_id]" caption="student_id" attribute="1" defaultMemberUniqueName="[tbl_Students].[student_id].[All]" allUniqueName="[tbl_Students].[student_id].[All]" dimensionUniqueName="[tbl_Students]" displayFolder="" count="0" memberValueDatatype="20" unbalanced="0"/>
    <cacheHierarchy uniqueName="[tbl_Students].[sex]" caption="sex" attribute="1" defaultMemberUniqueName="[tbl_Students].[sex].[All]" allUniqueName="[tbl_Students].[sex].[All]" dimensionUniqueName="[tbl_Students]" displayFolder="" count="0" memberValueDatatype="130" unbalanced="0"/>
    <cacheHierarchy uniqueName="[tbl_Students].[age]" caption="age" attribute="1" defaultMemberUniqueName="[tbl_Students].[age].[All]" allUniqueName="[tbl_Students].[age].[All]" dimensionUniqueName="[tbl_Students]" displayFolder="" count="0" memberValueDatatype="20" unbalanced="0"/>
    <cacheHierarchy uniqueName="[tbl_Students].[address_type]" caption="address_type" attribute="1" defaultMemberUniqueName="[tbl_Students].[address_type].[All]" allUniqueName="[tbl_Students].[address_type].[All]" dimensionUniqueName="[tbl_Students]" displayFolder="" count="2" memberValueDatatype="130" unbalanced="0">
      <fieldsUsage count="2">
        <fieldUsage x="-1"/>
        <fieldUsage x="0"/>
      </fieldsUsage>
    </cacheHierarchy>
    <cacheHierarchy uniqueName="[tbl_Students].[family_size]" caption="family_size" attribute="1" defaultMemberUniqueName="[tbl_Students].[family_size].[All]" allUniqueName="[tbl_Students].[family_size].[All]" dimensionUniqueName="[tbl_Students]" displayFolder="" count="0" memberValueDatatype="130" unbalanced="0"/>
    <cacheHierarchy uniqueName="[tbl_Students].[parent_status]" caption="parent_status" attribute="1" defaultMemberUniqueName="[tbl_Students].[parent_status].[All]" allUniqueName="[tbl_Students].[parent_status].[All]" dimensionUniqueName="[tbl_Students]" displayFolder="" count="0" memberValueDatatype="130" unbalanced="0"/>
    <cacheHierarchy uniqueName="[tbl_Students].[guardian]" caption="guardian" attribute="1" defaultMemberUniqueName="[tbl_Students].[guardian].[All]" allUniqueName="[tbl_Students].[guardian].[All]" dimensionUniqueName="[tbl_Students]" displayFolder="" count="0" memberValueDatatype="130" unbalanced="0"/>
    <cacheHierarchy uniqueName="[tbl_Students].[school_id]" caption="school_id" attribute="1" defaultMemberUniqueName="[tbl_Students].[school_id].[All]" allUniqueName="[tbl_Students].[school_id].[All]" dimensionUniqueName="[tbl_Students]" displayFolder="" count="0" memberValueDatatype="20" unbalanced="0"/>
    <cacheHierarchy uniqueName="[tbl_Students].[School_Name]" caption="School_Name" attribute="1" defaultMemberUniqueName="[tbl_Students].[School_Name].[All]" allUniqueName="[tbl_Students].[School_Name].[All]" dimensionUniqueName="[tbl_Students]" displayFolder="" count="0" memberValueDatatype="130" unbalanced="0"/>
    <cacheHierarchy uniqueName="[tbl_Students].[Age_Group]" caption="Age_Group" attribute="1" defaultMemberUniqueName="[tbl_Students].[Age_Group].[All]" allUniqueName="[tbl_Students].[Age_Group].[All]" dimensionUniqueName="[tbl_Students]" displayFolder="" count="2" memberValueDatatype="130" unbalanced="0">
      <fieldsUsage count="2">
        <fieldUsage x="-1"/>
        <fieldUsage x="3"/>
      </fieldsUsage>
    </cacheHierarchy>
    <cacheHierarchy uniqueName="[Measures].[Sum of age]" caption="Sum of age" measure="1" displayFolder="" measureGroup="tbl_Students" count="0">
      <extLst>
        <ext xmlns:x15="http://schemas.microsoft.com/office/spreadsheetml/2010/11/main" uri="{B97F6D7D-B522-45F9-BDA1-12C45D357490}">
          <x15:cacheHierarchy aggregatedColumn="35"/>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3"/>
        </ext>
      </extLst>
    </cacheHierarchy>
    <cacheHierarchy uniqueName="[Measures].[Count of student_id]" caption="Count of student_id" measure="1" displayFolder="" measureGroup="tbl_Students" count="0">
      <extLst>
        <ext xmlns:x15="http://schemas.microsoft.com/office/spreadsheetml/2010/11/main" uri="{B97F6D7D-B522-45F9-BDA1-12C45D357490}">
          <x15:cacheHierarchy aggregatedColumn="33"/>
        </ext>
      </extLst>
    </cacheHierarchy>
    <cacheHierarchy uniqueName="[Measures].[Average Final Grade]" caption="Average Final Grade" measure="1" displayFolder="" measureGroup="tbl_Grades" count="0" oneField="1">
      <fieldsUsage count="1">
        <fieldUsage x="1"/>
      </fieldsUsage>
    </cacheHierarchy>
    <cacheHierarchy uniqueName="[Measures].[Pass Rate (%)]" caption="Pass Rate (%)" measure="1" displayFolder="" measureGroup="tbl_Grades" count="0"/>
    <cacheHierarchy uniqueName="[Measures].[Avg Absences]" caption="Avg Absences" measure="1" displayFolder="" measureGroup="tbl_Grades" count="0"/>
    <cacheHierarchy uniqueName="[Measures].[High Absentee Count]" caption="High Absentee Count" measure="1" displayFolder="" measureGroup="tbl_Grades" count="0" oneField="1">
      <fieldsUsage count="1">
        <fieldUsage x="2"/>
      </fieldsUsage>
    </cacheHierarchy>
    <cacheHierarchy uniqueName="[Measures].[Grade Ratio]" caption="Grade Ratio" measure="1" displayFolder="" measureGroup="tbl_Grades" count="0"/>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dimensions count="7">
    <dimension measure="1" name="Measures" uniqueName="[Measures]" caption="Measures"/>
    <dimension name="tbl_FamilyBackground" uniqueName="[tbl_FamilyBackground]" caption="tbl_FamilyBackground"/>
    <dimension name="tbl_Grades" uniqueName="[tbl_Grades]" caption="tbl_Grades"/>
    <dimension name="tbl_Lifestyle" uniqueName="[tbl_Lifestyle]" caption="tbl_Lifestyle"/>
    <dimension name="tbl_SchoolLife" uniqueName="[tbl_SchoolLife]" caption="tbl_SchoolLife"/>
    <dimension name="tbl_Schools" uniqueName="[tbl_Schools]" caption="tbl_Schools"/>
    <dimension name="tbl_Students" uniqueName="[tbl_Students]" caption="tbl_Students"/>
  </dimensions>
  <measureGroups count="6">
    <measureGroup name="tbl_FamilyBackground" caption="tbl_FamilyBackground"/>
    <measureGroup name="tbl_Grades" caption="tbl_Grades"/>
    <measureGroup name="tbl_Lifestyle" caption="tbl_Lifestyle"/>
    <measureGroup name="tbl_SchoolLife" caption="tbl_SchoolLife"/>
    <measureGroup name="tbl_Schools" caption="tbl_Schools"/>
    <measureGroup name="tbl_Students" caption="tbl_Students"/>
  </measureGroups>
  <maps count="15">
    <map measureGroup="0" dimension="1"/>
    <map measureGroup="0" dimension="5"/>
    <map measureGroup="0" dimension="6"/>
    <map measureGroup="1" dimension="2"/>
    <map measureGroup="1" dimension="5"/>
    <map measureGroup="1" dimension="6"/>
    <map measureGroup="2" dimension="3"/>
    <map measureGroup="2" dimension="5"/>
    <map measureGroup="2" dimension="6"/>
    <map measureGroup="3" dimension="4"/>
    <map measureGroup="3" dimension="5"/>
    <map measureGroup="3" dimension="6"/>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ts Caramel" refreshedDate="46179.86024548611" backgroundQuery="1" createdVersion="8" refreshedVersion="8" minRefreshableVersion="3" recordCount="0" supportSubquery="1" supportAdvancedDrill="1" xr:uid="{126141DD-0B3D-4977-9EFD-7CB5611A3393}">
  <cacheSource type="external" connectionId="7"/>
  <cacheFields count="3">
    <cacheField name="[tbl_Students].[address_type].[address_type]" caption="address_type" numFmtId="0" hierarchy="36" level="1">
      <sharedItems count="1">
        <s v="Rural"/>
      </sharedItems>
    </cacheField>
    <cacheField name="[Measures].[Average Final Grade]" caption="Average Final Grade" numFmtId="0" hierarchy="46" level="32767"/>
    <cacheField name="[Measures].[High Absentee Count]" caption="High Absentee Count" numFmtId="0" hierarchy="49" level="32767"/>
  </cacheFields>
  <cacheHierarchies count="58">
    <cacheHierarchy uniqueName="[tbl_FamilyBackground].[student_id]" caption="student_id" attribute="1" defaultMemberUniqueName="[tbl_FamilyBackground].[student_id].[All]" allUniqueName="[tbl_FamilyBackground].[student_id].[All]" dimensionUniqueName="[tbl_FamilyBackground]" displayFolder="" count="0"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0"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0"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0"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0" memberValueDatatype="130" unbalanced="0"/>
    <cacheHierarchy uniqueName="[tbl_Grades].[student_id]" caption="student_id" attribute="1" defaultMemberUniqueName="[tbl_Grades].[student_id].[All]" allUniqueName="[tbl_Grades].[student_id].[All]" dimensionUniqueName="[tbl_Grades]" displayFolder="" count="0" memberValueDatatype="20" unbalanced="0"/>
    <cacheHierarchy uniqueName="[tbl_Grades].[grade_1]" caption="grade_1" attribute="1" defaultMemberUniqueName="[tbl_Grades].[grade_1].[All]" allUniqueName="[tbl_Grades].[grade_1].[All]" dimensionUniqueName="[tbl_Grades]" displayFolder="" count="0" memberValueDatatype="20" unbalanced="0"/>
    <cacheHierarchy uniqueName="[tbl_Grades].[grade_2]" caption="grade_2" attribute="1" defaultMemberUniqueName="[tbl_Grades].[grade_2].[All]" allUniqueName="[tbl_Grades].[grade_2].[All]" dimensionUniqueName="[tbl_Grades]" displayFolder="" count="0" memberValueDatatype="20" unbalanced="0"/>
    <cacheHierarchy uniqueName="[tbl_Grades].[final_grade]" caption="final_grade" attribute="1" defaultMemberUniqueName="[tbl_Grades].[final_grade].[All]" allUniqueName="[tbl_Grades].[final_grade].[All]" dimensionUniqueName="[tbl_Grades]" displayFolder="" count="0" memberValueDatatype="20" unbalanced="0"/>
    <cacheHierarchy uniqueName="[tbl_Lifestyle].[student_id]" caption="student_id" attribute="1" defaultMemberUniqueName="[tbl_Lifestyle].[student_id].[All]" allUniqueName="[tbl_Lifestyle].[student_id].[All]" dimensionUniqueName="[tbl_Lifestyle]" displayFolder="" count="0" memberValueDatatype="20" unbalanced="0"/>
    <cacheHierarchy uniqueName="[tbl_Lifestyle].[activities]" caption="activities" attribute="1" defaultMemberUniqueName="[tbl_Lifestyle].[activities].[All]" allUniqueName="[tbl_Lifestyle].[activities].[All]" dimensionUniqueName="[tbl_Lifestyle]" displayFolder="" count="0" memberValueDatatype="130" unbalanced="0"/>
    <cacheHierarchy uniqueName="[tbl_Lifestyle].[internet_access]" caption="internet_access" attribute="1" defaultMemberUniqueName="[tbl_Lifestyle].[internet_access].[All]" allUniqueName="[tbl_Lifestyle].[internet_access].[All]" dimensionUniqueName="[tbl_Lifestyle]" displayFolder="" count="0"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0"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0" memberValueDatatype="20" unbalanced="0"/>
    <cacheHierarchy uniqueName="[tbl_Lifestyle].[free_time]" caption="free_time" attribute="1" defaultMemberUniqueName="[tbl_Lifestyle].[free_time].[All]" allUniqueName="[tbl_Lifestyle].[free_time].[All]" dimensionUniqueName="[tbl_Lifestyle]" displayFolder="" count="0" memberValueDatatype="20" unbalanced="0"/>
    <cacheHierarchy uniqueName="[tbl_Lifestyle].[social]" caption="social" attribute="1" defaultMemberUniqueName="[tbl_Lifestyle].[social].[All]" allUniqueName="[tbl_Lifestyle].[social].[All]" dimensionUniqueName="[tbl_Lifestyle]" displayFolder="" count="0" memberValueDatatype="20" unbalanced="0"/>
    <cacheHierarchy uniqueName="[tbl_Lifestyle].[weekday_alcohol]" caption="weekday_alcohol" attribute="1" defaultMemberUniqueName="[tbl_Lifestyle].[weekday_alcohol].[All]" allUniqueName="[tbl_Lifestyle].[weekday_alcohol].[All]" dimensionUniqueName="[tbl_Lifestyle]" displayFolder="" count="0" memberValueDatatype="20" unbalanced="0"/>
    <cacheHierarchy uniqueName="[tbl_Lifestyle].[weekend_alcohol]" caption="weekend_alcohol" attribute="1" defaultMemberUniqueName="[tbl_Lifestyle].[weekend_alcohol].[All]" allUniqueName="[tbl_Lifestyle].[weekend_alcohol].[All]" dimensionUniqueName="[tbl_Lifestyle]" displayFolder="" count="0" memberValueDatatype="20" unbalanced="0"/>
    <cacheHierarchy uniqueName="[tbl_Lifestyle].[health]" caption="health" attribute="1" defaultMemberUniqueName="[tbl_Lifestyle].[health].[All]" allUniqueName="[tbl_Lifestyle].[health].[All]" dimensionUniqueName="[tbl_Lifestyle]" displayFolder="" count="0" memberValueDatatype="20" unbalanced="0"/>
    <cacheHierarchy uniqueName="[tbl_Lifestyle].[absences]" caption="absences" attribute="1" defaultMemberUniqueName="[tbl_Lifestyle].[absences].[All]" allUniqueName="[tbl_Lifestyle].[absences].[All]" dimensionUniqueName="[tbl_Lifestyle]" displayFolder="" count="0" memberValueDatatype="20" unbalanced="0"/>
    <cacheHierarchy uniqueName="[tbl_SchoolLife].[student_id]" caption="student_id" attribute="1" defaultMemberUniqueName="[tbl_SchoolLife].[student_id].[All]" allUniqueName="[tbl_SchoolLife].[student_id].[All]" dimensionUniqueName="[tbl_SchoolLife]" displayFolder="" count="0"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0" memberValueDatatype="130" unbalanced="0"/>
    <cacheHierarchy uniqueName="[tbl_SchoolLife].[travel_time]" caption="travel_time" attribute="1" defaultMemberUniqueName="[tbl_SchoolLife].[travel_time].[All]" allUniqueName="[tbl_SchoolLife].[travel_time].[All]" dimensionUniqueName="[tbl_SchoolLife]" displayFolder="" count="0" memberValueDatatype="130" unbalanced="0"/>
    <cacheHierarchy uniqueName="[tbl_SchoolLife].[study_time]" caption="study_time" attribute="1" defaultMemberUniqueName="[tbl_SchoolLife].[study_time].[All]" allUniqueName="[tbl_SchoolLife].[study_time].[All]" dimensionUniqueName="[tbl_SchoolLife]" displayFolder="" count="0" memberValueDatatype="130" unbalanced="0"/>
    <cacheHierarchy uniqueName="[tbl_SchoolLife].[class_failures]" caption="class_failures" attribute="1" defaultMemberUniqueName="[tbl_SchoolLife].[class_failures].[All]" allUniqueName="[tbl_SchoolLife].[class_failures].[All]" dimensionUniqueName="[tbl_SchoolLife]" displayFolder="" count="0" memberValueDatatype="20" unbalanced="0"/>
    <cacheHierarchy uniqueName="[tbl_SchoolLife].[school_support]" caption="school_support" attribute="1" defaultMemberUniqueName="[tbl_SchoolLife].[school_support].[All]" allUniqueName="[tbl_SchoolLife].[school_support].[All]" dimensionUniqueName="[tbl_SchoolLife]" displayFolder="" count="0" memberValueDatatype="130" unbalanced="0"/>
    <cacheHierarchy uniqueName="[tbl_SchoolLife].[family_support]" caption="family_support" attribute="1" defaultMemberUniqueName="[tbl_SchoolLife].[family_support].[All]" allUniqueName="[tbl_SchoolLife].[family_support].[All]" dimensionUniqueName="[tbl_SchoolLife]" displayFolder="" count="0"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0" memberValueDatatype="130" unbalanced="0"/>
    <cacheHierarchy uniqueName="[tbl_SchoolLife].[nursery_school]" caption="nursery_school" attribute="1" defaultMemberUniqueName="[tbl_SchoolLife].[nursery_school].[All]" allUniqueName="[tbl_SchoolLife].[nursery_school].[All]" dimensionUniqueName="[tbl_SchoolLife]" displayFolder="" count="0" memberValueDatatype="130" unbalanced="0"/>
    <cacheHierarchy uniqueName="[tbl_SchoolLife].[higher_ed]" caption="higher_ed" attribute="1" defaultMemberUniqueName="[tbl_SchoolLife].[higher_ed].[All]" allUniqueName="[tbl_SchoolLife].[higher_ed].[All]" dimensionUniqueName="[tbl_SchoolLife]" displayFolder="" count="0" memberValueDatatype="130" unbalanced="0"/>
    <cacheHierarchy uniqueName="[tbl_Schools].[school_id]" caption="school_id" attribute="1" defaultMemberUniqueName="[tbl_Schools].[school_id].[All]" allUniqueName="[tbl_Schools].[school_id].[All]" dimensionUniqueName="[tbl_Schools]" displayFolder="" count="0" memberValueDatatype="20" unbalanced="0"/>
    <cacheHierarchy uniqueName="[tbl_Schools].[school_code]" caption="school_code" attribute="1" defaultMemberUniqueName="[tbl_Schools].[school_code].[All]" allUniqueName="[tbl_Schools].[school_code].[All]" dimensionUniqueName="[tbl_Schools]" displayFolder="" count="0" memberValueDatatype="130" unbalanced="0"/>
    <cacheHierarchy uniqueName="[tbl_Schools].[school_name]" caption="school_name" attribute="1" defaultMemberUniqueName="[tbl_Schools].[school_name].[All]" allUniqueName="[tbl_Schools].[school_name].[All]" dimensionUniqueName="[tbl_Schools]" displayFolder="" count="0" memberValueDatatype="130" unbalanced="0"/>
    <cacheHierarchy uniqueName="[tbl_Students].[student_id]" caption="student_id" attribute="1" defaultMemberUniqueName="[tbl_Students].[student_id].[All]" allUniqueName="[tbl_Students].[student_id].[All]" dimensionUniqueName="[tbl_Students]" displayFolder="" count="0" memberValueDatatype="20" unbalanced="0"/>
    <cacheHierarchy uniqueName="[tbl_Students].[sex]" caption="sex" attribute="1" defaultMemberUniqueName="[tbl_Students].[sex].[All]" allUniqueName="[tbl_Students].[sex].[All]" dimensionUniqueName="[tbl_Students]" displayFolder="" count="0" memberValueDatatype="130" unbalanced="0"/>
    <cacheHierarchy uniqueName="[tbl_Students].[age]" caption="age" attribute="1" defaultMemberUniqueName="[tbl_Students].[age].[All]" allUniqueName="[tbl_Students].[age].[All]" dimensionUniqueName="[tbl_Students]" displayFolder="" count="0" memberValueDatatype="20" unbalanced="0"/>
    <cacheHierarchy uniqueName="[tbl_Students].[address_type]" caption="address_type" attribute="1" defaultMemberUniqueName="[tbl_Students].[address_type].[All]" allUniqueName="[tbl_Students].[address_type].[All]" dimensionUniqueName="[tbl_Students]" displayFolder="" count="2" memberValueDatatype="130" unbalanced="0">
      <fieldsUsage count="2">
        <fieldUsage x="-1"/>
        <fieldUsage x="0"/>
      </fieldsUsage>
    </cacheHierarchy>
    <cacheHierarchy uniqueName="[tbl_Students].[family_size]" caption="family_size" attribute="1" defaultMemberUniqueName="[tbl_Students].[family_size].[All]" allUniqueName="[tbl_Students].[family_size].[All]" dimensionUniqueName="[tbl_Students]" displayFolder="" count="0" memberValueDatatype="130" unbalanced="0"/>
    <cacheHierarchy uniqueName="[tbl_Students].[parent_status]" caption="parent_status" attribute="1" defaultMemberUniqueName="[tbl_Students].[parent_status].[All]" allUniqueName="[tbl_Students].[parent_status].[All]" dimensionUniqueName="[tbl_Students]" displayFolder="" count="0" memberValueDatatype="130" unbalanced="0"/>
    <cacheHierarchy uniqueName="[tbl_Students].[guardian]" caption="guardian" attribute="1" defaultMemberUniqueName="[tbl_Students].[guardian].[All]" allUniqueName="[tbl_Students].[guardian].[All]" dimensionUniqueName="[tbl_Students]" displayFolder="" count="0" memberValueDatatype="130" unbalanced="0"/>
    <cacheHierarchy uniqueName="[tbl_Students].[school_id]" caption="school_id" attribute="1" defaultMemberUniqueName="[tbl_Students].[school_id].[All]" allUniqueName="[tbl_Students].[school_id].[All]" dimensionUniqueName="[tbl_Students]" displayFolder="" count="0" memberValueDatatype="20" unbalanced="0"/>
    <cacheHierarchy uniqueName="[tbl_Students].[School_Name]" caption="School_Name" attribute="1" defaultMemberUniqueName="[tbl_Students].[School_Name].[All]" allUniqueName="[tbl_Students].[School_Name].[All]" dimensionUniqueName="[tbl_Students]" displayFolder="" count="0" memberValueDatatype="130" unbalanced="0"/>
    <cacheHierarchy uniqueName="[tbl_Students].[Age_Group]" caption="Age_Group" attribute="1" defaultMemberUniqueName="[tbl_Students].[Age_Group].[All]" allUniqueName="[tbl_Students].[Age_Group].[All]" dimensionUniqueName="[tbl_Students]" displayFolder="" count="0" memberValueDatatype="130" unbalanced="0"/>
    <cacheHierarchy uniqueName="[Measures].[Sum of age]" caption="Sum of age" measure="1" displayFolder="" measureGroup="tbl_Students" count="0">
      <extLst>
        <ext xmlns:x15="http://schemas.microsoft.com/office/spreadsheetml/2010/11/main" uri="{B97F6D7D-B522-45F9-BDA1-12C45D357490}">
          <x15:cacheHierarchy aggregatedColumn="35"/>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3"/>
        </ext>
      </extLst>
    </cacheHierarchy>
    <cacheHierarchy uniqueName="[Measures].[Count of student_id]" caption="Count of student_id" measure="1" displayFolder="" measureGroup="tbl_Students" count="0">
      <extLst>
        <ext xmlns:x15="http://schemas.microsoft.com/office/spreadsheetml/2010/11/main" uri="{B97F6D7D-B522-45F9-BDA1-12C45D357490}">
          <x15:cacheHierarchy aggregatedColumn="33"/>
        </ext>
      </extLst>
    </cacheHierarchy>
    <cacheHierarchy uniqueName="[Measures].[Average Final Grade]" caption="Average Final Grade" measure="1" displayFolder="" measureGroup="tbl_Grades" count="0" oneField="1">
      <fieldsUsage count="1">
        <fieldUsage x="1"/>
      </fieldsUsage>
    </cacheHierarchy>
    <cacheHierarchy uniqueName="[Measures].[Pass Rate (%)]" caption="Pass Rate (%)" measure="1" displayFolder="" measureGroup="tbl_Grades" count="0"/>
    <cacheHierarchy uniqueName="[Measures].[Avg Absences]" caption="Avg Absences" measure="1" displayFolder="" measureGroup="tbl_Grades" count="0"/>
    <cacheHierarchy uniqueName="[Measures].[High Absentee Count]" caption="High Absentee Count" measure="1" displayFolder="" measureGroup="tbl_Grades" count="0" oneField="1">
      <fieldsUsage count="1">
        <fieldUsage x="2"/>
      </fieldsUsage>
    </cacheHierarchy>
    <cacheHierarchy uniqueName="[Measures].[Grade Ratio]" caption="Grade Ratio" measure="1" displayFolder="" measureGroup="tbl_Grades" count="0"/>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dimensions count="7">
    <dimension measure="1" name="Measures" uniqueName="[Measures]" caption="Measures"/>
    <dimension name="tbl_FamilyBackground" uniqueName="[tbl_FamilyBackground]" caption="tbl_FamilyBackground"/>
    <dimension name="tbl_Grades" uniqueName="[tbl_Grades]" caption="tbl_Grades"/>
    <dimension name="tbl_Lifestyle" uniqueName="[tbl_Lifestyle]" caption="tbl_Lifestyle"/>
    <dimension name="tbl_SchoolLife" uniqueName="[tbl_SchoolLife]" caption="tbl_SchoolLife"/>
    <dimension name="tbl_Schools" uniqueName="[tbl_Schools]" caption="tbl_Schools"/>
    <dimension name="tbl_Students" uniqueName="[tbl_Students]" caption="tbl_Students"/>
  </dimensions>
  <measureGroups count="6">
    <measureGroup name="tbl_FamilyBackground" caption="tbl_FamilyBackground"/>
    <measureGroup name="tbl_Grades" caption="tbl_Grades"/>
    <measureGroup name="tbl_Lifestyle" caption="tbl_Lifestyle"/>
    <measureGroup name="tbl_SchoolLife" caption="tbl_SchoolLife"/>
    <measureGroup name="tbl_Schools" caption="tbl_Schools"/>
    <measureGroup name="tbl_Students" caption="tbl_Students"/>
  </measureGroups>
  <maps count="15">
    <map measureGroup="0" dimension="1"/>
    <map measureGroup="0" dimension="5"/>
    <map measureGroup="0" dimension="6"/>
    <map measureGroup="1" dimension="2"/>
    <map measureGroup="1" dimension="5"/>
    <map measureGroup="1" dimension="6"/>
    <map measureGroup="2" dimension="3"/>
    <map measureGroup="2" dimension="5"/>
    <map measureGroup="2" dimension="6"/>
    <map measureGroup="3" dimension="4"/>
    <map measureGroup="3" dimension="5"/>
    <map measureGroup="3" dimension="6"/>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ts Caramel" refreshedDate="46179.860503356482" backgroundQuery="1" createdVersion="8" refreshedVersion="8" minRefreshableVersion="3" recordCount="0" supportSubquery="1" supportAdvancedDrill="1" xr:uid="{AFC88DDD-F143-4C5F-B65A-7A6E3BACCC0A}">
  <cacheSource type="external" connectionId="7"/>
  <cacheFields count="3">
    <cacheField name="[Measures].[Average Final Grade]" caption="Average Final Grade" numFmtId="0" hierarchy="46" level="32767"/>
    <cacheField name="[Measures].[Pass Rate (%)]" caption="Pass Rate (%)" numFmtId="0" hierarchy="47" level="32767"/>
    <cacheField name="[tbl_Students].[guardian].[guardian]" caption="guardian" numFmtId="0" hierarchy="39" level="1">
      <sharedItems count="1">
        <s v="father"/>
      </sharedItems>
    </cacheField>
  </cacheFields>
  <cacheHierarchies count="58">
    <cacheHierarchy uniqueName="[tbl_FamilyBackground].[student_id]" caption="student_id" attribute="1" defaultMemberUniqueName="[tbl_FamilyBackground].[student_id].[All]" allUniqueName="[tbl_FamilyBackground].[student_id].[All]" dimensionUniqueName="[tbl_FamilyBackground]" displayFolder="" count="0"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0"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0"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0"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0" memberValueDatatype="130" unbalanced="0"/>
    <cacheHierarchy uniqueName="[tbl_Grades].[student_id]" caption="student_id" attribute="1" defaultMemberUniqueName="[tbl_Grades].[student_id].[All]" allUniqueName="[tbl_Grades].[student_id].[All]" dimensionUniqueName="[tbl_Grades]" displayFolder="" count="0" memberValueDatatype="20" unbalanced="0"/>
    <cacheHierarchy uniqueName="[tbl_Grades].[grade_1]" caption="grade_1" attribute="1" defaultMemberUniqueName="[tbl_Grades].[grade_1].[All]" allUniqueName="[tbl_Grades].[grade_1].[All]" dimensionUniqueName="[tbl_Grades]" displayFolder="" count="0" memberValueDatatype="20" unbalanced="0"/>
    <cacheHierarchy uniqueName="[tbl_Grades].[grade_2]" caption="grade_2" attribute="1" defaultMemberUniqueName="[tbl_Grades].[grade_2].[All]" allUniqueName="[tbl_Grades].[grade_2].[All]" dimensionUniqueName="[tbl_Grades]" displayFolder="" count="0" memberValueDatatype="20" unbalanced="0"/>
    <cacheHierarchy uniqueName="[tbl_Grades].[final_grade]" caption="final_grade" attribute="1" defaultMemberUniqueName="[tbl_Grades].[final_grade].[All]" allUniqueName="[tbl_Grades].[final_grade].[All]" dimensionUniqueName="[tbl_Grades]" displayFolder="" count="0" memberValueDatatype="20" unbalanced="0"/>
    <cacheHierarchy uniqueName="[tbl_Lifestyle].[student_id]" caption="student_id" attribute="1" defaultMemberUniqueName="[tbl_Lifestyle].[student_id].[All]" allUniqueName="[tbl_Lifestyle].[student_id].[All]" dimensionUniqueName="[tbl_Lifestyle]" displayFolder="" count="0" memberValueDatatype="20" unbalanced="0"/>
    <cacheHierarchy uniqueName="[tbl_Lifestyle].[activities]" caption="activities" attribute="1" defaultMemberUniqueName="[tbl_Lifestyle].[activities].[All]" allUniqueName="[tbl_Lifestyle].[activities].[All]" dimensionUniqueName="[tbl_Lifestyle]" displayFolder="" count="0" memberValueDatatype="130" unbalanced="0"/>
    <cacheHierarchy uniqueName="[tbl_Lifestyle].[internet_access]" caption="internet_access" attribute="1" defaultMemberUniqueName="[tbl_Lifestyle].[internet_access].[All]" allUniqueName="[tbl_Lifestyle].[internet_access].[All]" dimensionUniqueName="[tbl_Lifestyle]" displayFolder="" count="0"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0"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0" memberValueDatatype="20" unbalanced="0"/>
    <cacheHierarchy uniqueName="[tbl_Lifestyle].[free_time]" caption="free_time" attribute="1" defaultMemberUniqueName="[tbl_Lifestyle].[free_time].[All]" allUniqueName="[tbl_Lifestyle].[free_time].[All]" dimensionUniqueName="[tbl_Lifestyle]" displayFolder="" count="0" memberValueDatatype="20" unbalanced="0"/>
    <cacheHierarchy uniqueName="[tbl_Lifestyle].[social]" caption="social" attribute="1" defaultMemberUniqueName="[tbl_Lifestyle].[social].[All]" allUniqueName="[tbl_Lifestyle].[social].[All]" dimensionUniqueName="[tbl_Lifestyle]" displayFolder="" count="0" memberValueDatatype="20" unbalanced="0"/>
    <cacheHierarchy uniqueName="[tbl_Lifestyle].[weekday_alcohol]" caption="weekday_alcohol" attribute="1" defaultMemberUniqueName="[tbl_Lifestyle].[weekday_alcohol].[All]" allUniqueName="[tbl_Lifestyle].[weekday_alcohol].[All]" dimensionUniqueName="[tbl_Lifestyle]" displayFolder="" count="0" memberValueDatatype="20" unbalanced="0"/>
    <cacheHierarchy uniqueName="[tbl_Lifestyle].[weekend_alcohol]" caption="weekend_alcohol" attribute="1" defaultMemberUniqueName="[tbl_Lifestyle].[weekend_alcohol].[All]" allUniqueName="[tbl_Lifestyle].[weekend_alcohol].[All]" dimensionUniqueName="[tbl_Lifestyle]" displayFolder="" count="0" memberValueDatatype="20" unbalanced="0"/>
    <cacheHierarchy uniqueName="[tbl_Lifestyle].[health]" caption="health" attribute="1" defaultMemberUniqueName="[tbl_Lifestyle].[health].[All]" allUniqueName="[tbl_Lifestyle].[health].[All]" dimensionUniqueName="[tbl_Lifestyle]" displayFolder="" count="0" memberValueDatatype="20" unbalanced="0"/>
    <cacheHierarchy uniqueName="[tbl_Lifestyle].[absences]" caption="absences" attribute="1" defaultMemberUniqueName="[tbl_Lifestyle].[absences].[All]" allUniqueName="[tbl_Lifestyle].[absences].[All]" dimensionUniqueName="[tbl_Lifestyle]" displayFolder="" count="0" memberValueDatatype="20" unbalanced="0"/>
    <cacheHierarchy uniqueName="[tbl_SchoolLife].[student_id]" caption="student_id" attribute="1" defaultMemberUniqueName="[tbl_SchoolLife].[student_id].[All]" allUniqueName="[tbl_SchoolLife].[student_id].[All]" dimensionUniqueName="[tbl_SchoolLife]" displayFolder="" count="0"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0" memberValueDatatype="130" unbalanced="0"/>
    <cacheHierarchy uniqueName="[tbl_SchoolLife].[travel_time]" caption="travel_time" attribute="1" defaultMemberUniqueName="[tbl_SchoolLife].[travel_time].[All]" allUniqueName="[tbl_SchoolLife].[travel_time].[All]" dimensionUniqueName="[tbl_SchoolLife]" displayFolder="" count="0" memberValueDatatype="130" unbalanced="0"/>
    <cacheHierarchy uniqueName="[tbl_SchoolLife].[study_time]" caption="study_time" attribute="1" defaultMemberUniqueName="[tbl_SchoolLife].[study_time].[All]" allUniqueName="[tbl_SchoolLife].[study_time].[All]" dimensionUniqueName="[tbl_SchoolLife]" displayFolder="" count="0" memberValueDatatype="130" unbalanced="0"/>
    <cacheHierarchy uniqueName="[tbl_SchoolLife].[class_failures]" caption="class_failures" attribute="1" defaultMemberUniqueName="[tbl_SchoolLife].[class_failures].[All]" allUniqueName="[tbl_SchoolLife].[class_failures].[All]" dimensionUniqueName="[tbl_SchoolLife]" displayFolder="" count="0" memberValueDatatype="20" unbalanced="0"/>
    <cacheHierarchy uniqueName="[tbl_SchoolLife].[school_support]" caption="school_support" attribute="1" defaultMemberUniqueName="[tbl_SchoolLife].[school_support].[All]" allUniqueName="[tbl_SchoolLife].[school_support].[All]" dimensionUniqueName="[tbl_SchoolLife]" displayFolder="" count="0" memberValueDatatype="130" unbalanced="0"/>
    <cacheHierarchy uniqueName="[tbl_SchoolLife].[family_support]" caption="family_support" attribute="1" defaultMemberUniqueName="[tbl_SchoolLife].[family_support].[All]" allUniqueName="[tbl_SchoolLife].[family_support].[All]" dimensionUniqueName="[tbl_SchoolLife]" displayFolder="" count="0"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0" memberValueDatatype="130" unbalanced="0"/>
    <cacheHierarchy uniqueName="[tbl_SchoolLife].[nursery_school]" caption="nursery_school" attribute="1" defaultMemberUniqueName="[tbl_SchoolLife].[nursery_school].[All]" allUniqueName="[tbl_SchoolLife].[nursery_school].[All]" dimensionUniqueName="[tbl_SchoolLife]" displayFolder="" count="0" memberValueDatatype="130" unbalanced="0"/>
    <cacheHierarchy uniqueName="[tbl_SchoolLife].[higher_ed]" caption="higher_ed" attribute="1" defaultMemberUniqueName="[tbl_SchoolLife].[higher_ed].[All]" allUniqueName="[tbl_SchoolLife].[higher_ed].[All]" dimensionUniqueName="[tbl_SchoolLife]" displayFolder="" count="0" memberValueDatatype="130" unbalanced="0"/>
    <cacheHierarchy uniqueName="[tbl_Schools].[school_id]" caption="school_id" attribute="1" defaultMemberUniqueName="[tbl_Schools].[school_id].[All]" allUniqueName="[tbl_Schools].[school_id].[All]" dimensionUniqueName="[tbl_Schools]" displayFolder="" count="0" memberValueDatatype="20" unbalanced="0"/>
    <cacheHierarchy uniqueName="[tbl_Schools].[school_code]" caption="school_code" attribute="1" defaultMemberUniqueName="[tbl_Schools].[school_code].[All]" allUniqueName="[tbl_Schools].[school_code].[All]" dimensionUniqueName="[tbl_Schools]" displayFolder="" count="0" memberValueDatatype="130" unbalanced="0"/>
    <cacheHierarchy uniqueName="[tbl_Schools].[school_name]" caption="school_name" attribute="1" defaultMemberUniqueName="[tbl_Schools].[school_name].[All]" allUniqueName="[tbl_Schools].[school_name].[All]" dimensionUniqueName="[tbl_Schools]" displayFolder="" count="0" memberValueDatatype="130" unbalanced="0"/>
    <cacheHierarchy uniqueName="[tbl_Students].[student_id]" caption="student_id" attribute="1" defaultMemberUniqueName="[tbl_Students].[student_id].[All]" allUniqueName="[tbl_Students].[student_id].[All]" dimensionUniqueName="[tbl_Students]" displayFolder="" count="0" memberValueDatatype="20" unbalanced="0"/>
    <cacheHierarchy uniqueName="[tbl_Students].[sex]" caption="sex" attribute="1" defaultMemberUniqueName="[tbl_Students].[sex].[All]" allUniqueName="[tbl_Students].[sex].[All]" dimensionUniqueName="[tbl_Students]" displayFolder="" count="0" memberValueDatatype="130" unbalanced="0"/>
    <cacheHierarchy uniqueName="[tbl_Students].[age]" caption="age" attribute="1" defaultMemberUniqueName="[tbl_Students].[age].[All]" allUniqueName="[tbl_Students].[age].[All]" dimensionUniqueName="[tbl_Students]" displayFolder="" count="0" memberValueDatatype="20" unbalanced="0"/>
    <cacheHierarchy uniqueName="[tbl_Students].[address_type]" caption="address_type" attribute="1" defaultMemberUniqueName="[tbl_Students].[address_type].[All]" allUniqueName="[tbl_Students].[address_type].[All]" dimensionUniqueName="[tbl_Students]" displayFolder="" count="0" memberValueDatatype="130" unbalanced="0"/>
    <cacheHierarchy uniqueName="[tbl_Students].[family_size]" caption="family_size" attribute="1" defaultMemberUniqueName="[tbl_Students].[family_size].[All]" allUniqueName="[tbl_Students].[family_size].[All]" dimensionUniqueName="[tbl_Students]" displayFolder="" count="0" memberValueDatatype="130" unbalanced="0"/>
    <cacheHierarchy uniqueName="[tbl_Students].[parent_status]" caption="parent_status" attribute="1" defaultMemberUniqueName="[tbl_Students].[parent_status].[All]" allUniqueName="[tbl_Students].[parent_status].[All]" dimensionUniqueName="[tbl_Students]" displayFolder="" count="0" memberValueDatatype="130" unbalanced="0"/>
    <cacheHierarchy uniqueName="[tbl_Students].[guardian]" caption="guardian" attribute="1" defaultMemberUniqueName="[tbl_Students].[guardian].[All]" allUniqueName="[tbl_Students].[guardian].[All]" dimensionUniqueName="[tbl_Students]" displayFolder="" count="2" memberValueDatatype="130" unbalanced="0">
      <fieldsUsage count="2">
        <fieldUsage x="-1"/>
        <fieldUsage x="2"/>
      </fieldsUsage>
    </cacheHierarchy>
    <cacheHierarchy uniqueName="[tbl_Students].[school_id]" caption="school_id" attribute="1" defaultMemberUniqueName="[tbl_Students].[school_id].[All]" allUniqueName="[tbl_Students].[school_id].[All]" dimensionUniqueName="[tbl_Students]" displayFolder="" count="0" memberValueDatatype="20" unbalanced="0"/>
    <cacheHierarchy uniqueName="[tbl_Students].[School_Name]" caption="School_Name" attribute="1" defaultMemberUniqueName="[tbl_Students].[School_Name].[All]" allUniqueName="[tbl_Students].[School_Name].[All]" dimensionUniqueName="[tbl_Students]" displayFolder="" count="0" memberValueDatatype="130" unbalanced="0"/>
    <cacheHierarchy uniqueName="[tbl_Students].[Age_Group]" caption="Age_Group" attribute="1" defaultMemberUniqueName="[tbl_Students].[Age_Group].[All]" allUniqueName="[tbl_Students].[Age_Group].[All]" dimensionUniqueName="[tbl_Students]" displayFolder="" count="0" memberValueDatatype="130" unbalanced="0"/>
    <cacheHierarchy uniqueName="[Measures].[Sum of age]" caption="Sum of age" measure="1" displayFolder="" measureGroup="tbl_Students" count="0">
      <extLst>
        <ext xmlns:x15="http://schemas.microsoft.com/office/spreadsheetml/2010/11/main" uri="{B97F6D7D-B522-45F9-BDA1-12C45D357490}">
          <x15:cacheHierarchy aggregatedColumn="35"/>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3"/>
        </ext>
      </extLst>
    </cacheHierarchy>
    <cacheHierarchy uniqueName="[Measures].[Count of student_id]" caption="Count of student_id" measure="1" displayFolder="" measureGroup="tbl_Students" count="0">
      <extLst>
        <ext xmlns:x15="http://schemas.microsoft.com/office/spreadsheetml/2010/11/main" uri="{B97F6D7D-B522-45F9-BDA1-12C45D357490}">
          <x15:cacheHierarchy aggregatedColumn="33"/>
        </ext>
      </extLst>
    </cacheHierarchy>
    <cacheHierarchy uniqueName="[Measures].[Average Final Grade]" caption="Average Final Grade" measure="1" displayFolder="" measureGroup="tbl_Grades" count="0" oneField="1">
      <fieldsUsage count="1">
        <fieldUsage x="0"/>
      </fieldsUsage>
    </cacheHierarchy>
    <cacheHierarchy uniqueName="[Measures].[Pass Rate (%)]" caption="Pass Rate (%)" measure="1" displayFolder="" measureGroup="tbl_Grades" count="0" oneField="1">
      <fieldsUsage count="1">
        <fieldUsage x="1"/>
      </fieldsUsage>
    </cacheHierarchy>
    <cacheHierarchy uniqueName="[Measures].[Avg Absences]" caption="Avg Absences" measure="1" displayFolder="" measureGroup="tbl_Grades" count="0"/>
    <cacheHierarchy uniqueName="[Measures].[High Absentee Count]" caption="High Absentee Count" measure="1" displayFolder="" measureGroup="tbl_Grades" count="0"/>
    <cacheHierarchy uniqueName="[Measures].[Grade Ratio]" caption="Grade Ratio" measure="1" displayFolder="" measureGroup="tbl_Grades" count="0"/>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dimensions count="7">
    <dimension measure="1" name="Measures" uniqueName="[Measures]" caption="Measures"/>
    <dimension name="tbl_FamilyBackground" uniqueName="[tbl_FamilyBackground]" caption="tbl_FamilyBackground"/>
    <dimension name="tbl_Grades" uniqueName="[tbl_Grades]" caption="tbl_Grades"/>
    <dimension name="tbl_Lifestyle" uniqueName="[tbl_Lifestyle]" caption="tbl_Lifestyle"/>
    <dimension name="tbl_SchoolLife" uniqueName="[tbl_SchoolLife]" caption="tbl_SchoolLife"/>
    <dimension name="tbl_Schools" uniqueName="[tbl_Schools]" caption="tbl_Schools"/>
    <dimension name="tbl_Students" uniqueName="[tbl_Students]" caption="tbl_Students"/>
  </dimensions>
  <measureGroups count="6">
    <measureGroup name="tbl_FamilyBackground" caption="tbl_FamilyBackground"/>
    <measureGroup name="tbl_Grades" caption="tbl_Grades"/>
    <measureGroup name="tbl_Lifestyle" caption="tbl_Lifestyle"/>
    <measureGroup name="tbl_SchoolLife" caption="tbl_SchoolLife"/>
    <measureGroup name="tbl_Schools" caption="tbl_Schools"/>
    <measureGroup name="tbl_Students" caption="tbl_Students"/>
  </measureGroups>
  <maps count="15">
    <map measureGroup="0" dimension="1"/>
    <map measureGroup="0" dimension="5"/>
    <map measureGroup="0" dimension="6"/>
    <map measureGroup="1" dimension="2"/>
    <map measureGroup="1" dimension="5"/>
    <map measureGroup="1" dimension="6"/>
    <map measureGroup="2" dimension="3"/>
    <map measureGroup="2" dimension="5"/>
    <map measureGroup="2" dimension="6"/>
    <map measureGroup="3" dimension="4"/>
    <map measureGroup="3" dimension="5"/>
    <map measureGroup="3" dimension="6"/>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ts Caramel" refreshedDate="46179.860503935182" backgroundQuery="1" createdVersion="8" refreshedVersion="8" minRefreshableVersion="3" recordCount="0" supportSubquery="1" supportAdvancedDrill="1" xr:uid="{7D8BE36B-3EE4-4B7D-965B-1A54D70BF78D}">
  <cacheSource type="external" connectionId="7"/>
  <cacheFields count="4">
    <cacheField name="[tbl_Students].[parent_status].[parent_status]" caption="parent_status" numFmtId="0" hierarchy="38" level="1">
      <sharedItems count="2">
        <s v="Apart"/>
        <s v="Living together"/>
      </sharedItems>
    </cacheField>
    <cacheField name="[Measures].[Average Final Grade]" caption="Average Final Grade" numFmtId="0" hierarchy="46" level="32767"/>
    <cacheField name="[Measures].[Pass Rate (%)]" caption="Pass Rate (%)" numFmtId="0" hierarchy="47" level="32767"/>
    <cacheField name="[tbl_Students].[guardian].[guardian]" caption="guardian" numFmtId="0" hierarchy="39" level="1">
      <sharedItems containsSemiMixedTypes="0" containsNonDate="0" containsString="0"/>
    </cacheField>
  </cacheFields>
  <cacheHierarchies count="58">
    <cacheHierarchy uniqueName="[tbl_FamilyBackground].[student_id]" caption="student_id" attribute="1" defaultMemberUniqueName="[tbl_FamilyBackground].[student_id].[All]" allUniqueName="[tbl_FamilyBackground].[student_id].[All]" dimensionUniqueName="[tbl_FamilyBackground]" displayFolder="" count="2"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2"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2"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2"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2" memberValueDatatype="130" unbalanced="0"/>
    <cacheHierarchy uniqueName="[tbl_Grades].[student_id]" caption="student_id" attribute="1" defaultMemberUniqueName="[tbl_Grades].[student_id].[All]" allUniqueName="[tbl_Grades].[student_id].[All]" dimensionUniqueName="[tbl_Grades]" displayFolder="" count="2" memberValueDatatype="20" unbalanced="0"/>
    <cacheHierarchy uniqueName="[tbl_Grades].[grade_1]" caption="grade_1" attribute="1" defaultMemberUniqueName="[tbl_Grades].[grade_1].[All]" allUniqueName="[tbl_Grades].[grade_1].[All]" dimensionUniqueName="[tbl_Grades]" displayFolder="" count="2" memberValueDatatype="20" unbalanced="0"/>
    <cacheHierarchy uniqueName="[tbl_Grades].[grade_2]" caption="grade_2" attribute="1" defaultMemberUniqueName="[tbl_Grades].[grade_2].[All]" allUniqueName="[tbl_Grades].[grade_2].[All]" dimensionUniqueName="[tbl_Grades]" displayFolder="" count="2" memberValueDatatype="20" unbalanced="0"/>
    <cacheHierarchy uniqueName="[tbl_Grades].[final_grade]" caption="final_grade" attribute="1" defaultMemberUniqueName="[tbl_Grades].[final_grade].[All]" allUniqueName="[tbl_Grades].[final_grade].[All]" dimensionUniqueName="[tbl_Grades]" displayFolder="" count="2" memberValueDatatype="20" unbalanced="0"/>
    <cacheHierarchy uniqueName="[tbl_Lifestyle].[student_id]" caption="student_id" attribute="1" defaultMemberUniqueName="[tbl_Lifestyle].[student_id].[All]" allUniqueName="[tbl_Lifestyle].[student_id].[All]" dimensionUniqueName="[tbl_Lifestyle]" displayFolder="" count="2" memberValueDatatype="20" unbalanced="0"/>
    <cacheHierarchy uniqueName="[tbl_Lifestyle].[activities]" caption="activities" attribute="1" defaultMemberUniqueName="[tbl_Lifestyle].[activities].[All]" allUniqueName="[tbl_Lifestyle].[activities].[All]" dimensionUniqueName="[tbl_Lifestyle]" displayFolder="" count="2" memberValueDatatype="130" unbalanced="0"/>
    <cacheHierarchy uniqueName="[tbl_Lifestyle].[internet_access]" caption="internet_access" attribute="1" defaultMemberUniqueName="[tbl_Lifestyle].[internet_access].[All]" allUniqueName="[tbl_Lifestyle].[internet_access].[All]" dimensionUniqueName="[tbl_Lifestyle]" displayFolder="" count="2"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2"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2" memberValueDatatype="20" unbalanced="0"/>
    <cacheHierarchy uniqueName="[tbl_Lifestyle].[free_time]" caption="free_time" attribute="1" defaultMemberUniqueName="[tbl_Lifestyle].[free_time].[All]" allUniqueName="[tbl_Lifestyle].[free_time].[All]" dimensionUniqueName="[tbl_Lifestyle]" displayFolder="" count="2" memberValueDatatype="20" unbalanced="0"/>
    <cacheHierarchy uniqueName="[tbl_Lifestyle].[social]" caption="social" attribute="1" defaultMemberUniqueName="[tbl_Lifestyle].[social].[All]" allUniqueName="[tbl_Lifestyle].[social].[All]" dimensionUniqueName="[tbl_Lifestyle]" displayFolder="" count="2" memberValueDatatype="20" unbalanced="0"/>
    <cacheHierarchy uniqueName="[tbl_Lifestyle].[weekday_alcohol]" caption="weekday_alcohol" attribute="1" defaultMemberUniqueName="[tbl_Lifestyle].[weekday_alcohol].[All]" allUniqueName="[tbl_Lifestyle].[weekday_alcohol].[All]" dimensionUniqueName="[tbl_Lifestyle]" displayFolder="" count="2" memberValueDatatype="20" unbalanced="0"/>
    <cacheHierarchy uniqueName="[tbl_Lifestyle].[weekend_alcohol]" caption="weekend_alcohol" attribute="1" defaultMemberUniqueName="[tbl_Lifestyle].[weekend_alcohol].[All]" allUniqueName="[tbl_Lifestyle].[weekend_alcohol].[All]" dimensionUniqueName="[tbl_Lifestyle]" displayFolder="" count="2" memberValueDatatype="20" unbalanced="0"/>
    <cacheHierarchy uniqueName="[tbl_Lifestyle].[health]" caption="health" attribute="1" defaultMemberUniqueName="[tbl_Lifestyle].[health].[All]" allUniqueName="[tbl_Lifestyle].[health].[All]" dimensionUniqueName="[tbl_Lifestyle]" displayFolder="" count="2" memberValueDatatype="20" unbalanced="0"/>
    <cacheHierarchy uniqueName="[tbl_Lifestyle].[absences]" caption="absences" attribute="1" defaultMemberUniqueName="[tbl_Lifestyle].[absences].[All]" allUniqueName="[tbl_Lifestyle].[absences].[All]" dimensionUniqueName="[tbl_Lifestyle]" displayFolder="" count="2" memberValueDatatype="20" unbalanced="0"/>
    <cacheHierarchy uniqueName="[tbl_SchoolLife].[student_id]" caption="student_id" attribute="1" defaultMemberUniqueName="[tbl_SchoolLife].[student_id].[All]" allUniqueName="[tbl_SchoolLife].[student_id].[All]" dimensionUniqueName="[tbl_SchoolLife]" displayFolder="" count="2"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2" memberValueDatatype="130" unbalanced="0"/>
    <cacheHierarchy uniqueName="[tbl_SchoolLife].[travel_time]" caption="travel_time" attribute="1" defaultMemberUniqueName="[tbl_SchoolLife].[travel_time].[All]" allUniqueName="[tbl_SchoolLife].[travel_time].[All]" dimensionUniqueName="[tbl_SchoolLife]" displayFolder="" count="2" memberValueDatatype="130" unbalanced="0"/>
    <cacheHierarchy uniqueName="[tbl_SchoolLife].[study_time]" caption="study_time" attribute="1" defaultMemberUniqueName="[tbl_SchoolLife].[study_time].[All]" allUniqueName="[tbl_SchoolLife].[study_time].[All]" dimensionUniqueName="[tbl_SchoolLife]" displayFolder="" count="2" memberValueDatatype="130" unbalanced="0"/>
    <cacheHierarchy uniqueName="[tbl_SchoolLife].[class_failures]" caption="class_failures" attribute="1" defaultMemberUniqueName="[tbl_SchoolLife].[class_failures].[All]" allUniqueName="[tbl_SchoolLife].[class_failures].[All]" dimensionUniqueName="[tbl_SchoolLife]" displayFolder="" count="2" memberValueDatatype="20" unbalanced="0"/>
    <cacheHierarchy uniqueName="[tbl_SchoolLife].[school_support]" caption="school_support" attribute="1" defaultMemberUniqueName="[tbl_SchoolLife].[school_support].[All]" allUniqueName="[tbl_SchoolLife].[school_support].[All]" dimensionUniqueName="[tbl_SchoolLife]" displayFolder="" count="2" memberValueDatatype="130" unbalanced="0"/>
    <cacheHierarchy uniqueName="[tbl_SchoolLife].[family_support]" caption="family_support" attribute="1" defaultMemberUniqueName="[tbl_SchoolLife].[family_support].[All]" allUniqueName="[tbl_SchoolLife].[family_support].[All]" dimensionUniqueName="[tbl_SchoolLife]" displayFolder="" count="2"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2" memberValueDatatype="130" unbalanced="0"/>
    <cacheHierarchy uniqueName="[tbl_SchoolLife].[nursery_school]" caption="nursery_school" attribute="1" defaultMemberUniqueName="[tbl_SchoolLife].[nursery_school].[All]" allUniqueName="[tbl_SchoolLife].[nursery_school].[All]" dimensionUniqueName="[tbl_SchoolLife]" displayFolder="" count="2" memberValueDatatype="130" unbalanced="0"/>
    <cacheHierarchy uniqueName="[tbl_SchoolLife].[higher_ed]" caption="higher_ed" attribute="1" defaultMemberUniqueName="[tbl_SchoolLife].[higher_ed].[All]" allUniqueName="[tbl_SchoolLife].[higher_ed].[All]" dimensionUniqueName="[tbl_SchoolLife]" displayFolder="" count="2" memberValueDatatype="130" unbalanced="0"/>
    <cacheHierarchy uniqueName="[tbl_Schools].[school_id]" caption="school_id" attribute="1" defaultMemberUniqueName="[tbl_Schools].[school_id].[All]" allUniqueName="[tbl_Schools].[school_id].[All]" dimensionUniqueName="[tbl_Schools]" displayFolder="" count="2" memberValueDatatype="20" unbalanced="0"/>
    <cacheHierarchy uniqueName="[tbl_Schools].[school_code]" caption="school_code" attribute="1" defaultMemberUniqueName="[tbl_Schools].[school_code].[All]" allUniqueName="[tbl_Schools].[school_code].[All]" dimensionUniqueName="[tbl_Schools]" displayFolder="" count="2" memberValueDatatype="130" unbalanced="0"/>
    <cacheHierarchy uniqueName="[tbl_Schools].[school_name]" caption="school_name" attribute="1" defaultMemberUniqueName="[tbl_Schools].[school_name].[All]" allUniqueName="[tbl_Schools].[school_name].[All]" dimensionUniqueName="[tbl_Schools]" displayFolder="" count="2" memberValueDatatype="130" unbalanced="0"/>
    <cacheHierarchy uniqueName="[tbl_Students].[student_id]" caption="student_id" attribute="1" defaultMemberUniqueName="[tbl_Students].[student_id].[All]" allUniqueName="[tbl_Students].[student_id].[All]" dimensionUniqueName="[tbl_Students]" displayFolder="" count="2" memberValueDatatype="20" unbalanced="0"/>
    <cacheHierarchy uniqueName="[tbl_Students].[sex]" caption="sex" attribute="1" defaultMemberUniqueName="[tbl_Students].[sex].[All]" allUniqueName="[tbl_Students].[sex].[All]" dimensionUniqueName="[tbl_Students]" displayFolder="" count="2" memberValueDatatype="130" unbalanced="0"/>
    <cacheHierarchy uniqueName="[tbl_Students].[age]" caption="age" attribute="1" defaultMemberUniqueName="[tbl_Students].[age].[All]" allUniqueName="[tbl_Students].[age].[All]" dimensionUniqueName="[tbl_Students]" displayFolder="" count="2" memberValueDatatype="20" unbalanced="0"/>
    <cacheHierarchy uniqueName="[tbl_Students].[address_type]" caption="address_type" attribute="1" defaultMemberUniqueName="[tbl_Students].[address_type].[All]" allUniqueName="[tbl_Students].[address_type].[All]" dimensionUniqueName="[tbl_Students]" displayFolder="" count="2" memberValueDatatype="130" unbalanced="0"/>
    <cacheHierarchy uniqueName="[tbl_Students].[family_size]" caption="family_size" attribute="1" defaultMemberUniqueName="[tbl_Students].[family_size].[All]" allUniqueName="[tbl_Students].[family_size].[All]" dimensionUniqueName="[tbl_Students]" displayFolder="" count="2" memberValueDatatype="130" unbalanced="0"/>
    <cacheHierarchy uniqueName="[tbl_Students].[parent_status]" caption="parent_status" attribute="1" defaultMemberUniqueName="[tbl_Students].[parent_status].[All]" allUniqueName="[tbl_Students].[parent_status].[All]" dimensionUniqueName="[tbl_Students]" displayFolder="" count="2" memberValueDatatype="130" unbalanced="0">
      <fieldsUsage count="2">
        <fieldUsage x="-1"/>
        <fieldUsage x="0"/>
      </fieldsUsage>
    </cacheHierarchy>
    <cacheHierarchy uniqueName="[tbl_Students].[guardian]" caption="guardian" attribute="1" defaultMemberUniqueName="[tbl_Students].[guardian].[All]" allUniqueName="[tbl_Students].[guardian].[All]" dimensionUniqueName="[tbl_Students]" displayFolder="" count="2" memberValueDatatype="130" unbalanced="0">
      <fieldsUsage count="2">
        <fieldUsage x="-1"/>
        <fieldUsage x="3"/>
      </fieldsUsage>
    </cacheHierarchy>
    <cacheHierarchy uniqueName="[tbl_Students].[school_id]" caption="school_id" attribute="1" defaultMemberUniqueName="[tbl_Students].[school_id].[All]" allUniqueName="[tbl_Students].[school_id].[All]" dimensionUniqueName="[tbl_Students]" displayFolder="" count="2" memberValueDatatype="20" unbalanced="0"/>
    <cacheHierarchy uniqueName="[tbl_Students].[School_Name]" caption="School_Name" attribute="1" defaultMemberUniqueName="[tbl_Students].[School_Name].[All]" allUniqueName="[tbl_Students].[School_Name].[All]" dimensionUniqueName="[tbl_Students]" displayFolder="" count="2" memberValueDatatype="130" unbalanced="0"/>
    <cacheHierarchy uniqueName="[tbl_Students].[Age_Group]" caption="Age_Group" attribute="1" defaultMemberUniqueName="[tbl_Students].[Age_Group].[All]" allUniqueName="[tbl_Students].[Age_Group].[All]" dimensionUniqueName="[tbl_Students]" displayFolder="" count="2" memberValueDatatype="130" unbalanced="0"/>
    <cacheHierarchy uniqueName="[Measures].[Sum of age]" caption="Sum of age" measure="1" displayFolder="" measureGroup="tbl_Students" count="0">
      <extLst>
        <ext xmlns:x15="http://schemas.microsoft.com/office/spreadsheetml/2010/11/main" uri="{B97F6D7D-B522-45F9-BDA1-12C45D357490}">
          <x15:cacheHierarchy aggregatedColumn="35"/>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3"/>
        </ext>
      </extLst>
    </cacheHierarchy>
    <cacheHierarchy uniqueName="[Measures].[Count of student_id]" caption="Count of student_id" measure="1" displayFolder="" measureGroup="tbl_Students" count="0">
      <extLst>
        <ext xmlns:x15="http://schemas.microsoft.com/office/spreadsheetml/2010/11/main" uri="{B97F6D7D-B522-45F9-BDA1-12C45D357490}">
          <x15:cacheHierarchy aggregatedColumn="33"/>
        </ext>
      </extLst>
    </cacheHierarchy>
    <cacheHierarchy uniqueName="[Measures].[Average Final Grade]" caption="Average Final Grade" measure="1" displayFolder="" measureGroup="tbl_Grades" count="0" oneField="1">
      <fieldsUsage count="1">
        <fieldUsage x="1"/>
      </fieldsUsage>
    </cacheHierarchy>
    <cacheHierarchy uniqueName="[Measures].[Pass Rate (%)]" caption="Pass Rate (%)" measure="1" displayFolder="" measureGroup="tbl_Grades" count="0" oneField="1">
      <fieldsUsage count="1">
        <fieldUsage x="2"/>
      </fieldsUsage>
    </cacheHierarchy>
    <cacheHierarchy uniqueName="[Measures].[Avg Absences]" caption="Avg Absences" measure="1" displayFolder="" measureGroup="tbl_Grades" count="0"/>
    <cacheHierarchy uniqueName="[Measures].[High Absentee Count]" caption="High Absentee Count" measure="1" displayFolder="" measureGroup="tbl_Grades" count="0"/>
    <cacheHierarchy uniqueName="[Measures].[Grade Ratio]" caption="Grade Ratio" measure="1" displayFolder="" measureGroup="tbl_Grades" count="0"/>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dimensions count="7">
    <dimension measure="1" name="Measures" uniqueName="[Measures]" caption="Measures"/>
    <dimension name="tbl_FamilyBackground" uniqueName="[tbl_FamilyBackground]" caption="tbl_FamilyBackground"/>
    <dimension name="tbl_Grades" uniqueName="[tbl_Grades]" caption="tbl_Grades"/>
    <dimension name="tbl_Lifestyle" uniqueName="[tbl_Lifestyle]" caption="tbl_Lifestyle"/>
    <dimension name="tbl_SchoolLife" uniqueName="[tbl_SchoolLife]" caption="tbl_SchoolLife"/>
    <dimension name="tbl_Schools" uniqueName="[tbl_Schools]" caption="tbl_Schools"/>
    <dimension name="tbl_Students" uniqueName="[tbl_Students]" caption="tbl_Students"/>
  </dimensions>
  <measureGroups count="6">
    <measureGroup name="tbl_FamilyBackground" caption="tbl_FamilyBackground"/>
    <measureGroup name="tbl_Grades" caption="tbl_Grades"/>
    <measureGroup name="tbl_Lifestyle" caption="tbl_Lifestyle"/>
    <measureGroup name="tbl_SchoolLife" caption="tbl_SchoolLife"/>
    <measureGroup name="tbl_Schools" caption="tbl_Schools"/>
    <measureGroup name="tbl_Students" caption="tbl_Students"/>
  </measureGroups>
  <maps count="15">
    <map measureGroup="0" dimension="1"/>
    <map measureGroup="0" dimension="5"/>
    <map measureGroup="0" dimension="6"/>
    <map measureGroup="1" dimension="2"/>
    <map measureGroup="1" dimension="5"/>
    <map measureGroup="1" dimension="6"/>
    <map measureGroup="2" dimension="3"/>
    <map measureGroup="2" dimension="5"/>
    <map measureGroup="2" dimension="6"/>
    <map measureGroup="3" dimension="4"/>
    <map measureGroup="3" dimension="5"/>
    <map measureGroup="3" dimension="6"/>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ts Caramel" refreshedDate="46179.841298726853" backgroundQuery="1" createdVersion="3" refreshedVersion="8" minRefreshableVersion="3" recordCount="0" supportSubquery="1" supportAdvancedDrill="1" xr:uid="{AA61CEAA-CDD3-4072-A80E-07D23630CD9D}">
  <cacheSource type="external" connectionId="7">
    <extLst>
      <ext xmlns:x14="http://schemas.microsoft.com/office/spreadsheetml/2009/9/main" uri="{F057638F-6D5F-4e77-A914-E7F072B9BCA8}">
        <x14:sourceConnection name="ThisWorkbookDataModel"/>
      </ext>
    </extLst>
  </cacheSource>
  <cacheFields count="0"/>
  <cacheHierarchies count="58">
    <cacheHierarchy uniqueName="[tbl_FamilyBackground].[student_id]" caption="student_id" attribute="1" defaultMemberUniqueName="[tbl_FamilyBackground].[student_id].[All]" allUniqueName="[tbl_FamilyBackground].[student_id].[All]" dimensionUniqueName="[tbl_FamilyBackground]" displayFolder="" count="0"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0"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0"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0"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0" memberValueDatatype="130" unbalanced="0"/>
    <cacheHierarchy uniqueName="[tbl_Grades].[student_id]" caption="student_id" attribute="1" defaultMemberUniqueName="[tbl_Grades].[student_id].[All]" allUniqueName="[tbl_Grades].[student_id].[All]" dimensionUniqueName="[tbl_Grades]" displayFolder="" count="0" memberValueDatatype="20" unbalanced="0"/>
    <cacheHierarchy uniqueName="[tbl_Grades].[grade_1]" caption="grade_1" attribute="1" defaultMemberUniqueName="[tbl_Grades].[grade_1].[All]" allUniqueName="[tbl_Grades].[grade_1].[All]" dimensionUniqueName="[tbl_Grades]" displayFolder="" count="0" memberValueDatatype="20" unbalanced="0"/>
    <cacheHierarchy uniqueName="[tbl_Grades].[grade_2]" caption="grade_2" attribute="1" defaultMemberUniqueName="[tbl_Grades].[grade_2].[All]" allUniqueName="[tbl_Grades].[grade_2].[All]" dimensionUniqueName="[tbl_Grades]" displayFolder="" count="0" memberValueDatatype="20" unbalanced="0"/>
    <cacheHierarchy uniqueName="[tbl_Grades].[final_grade]" caption="final_grade" attribute="1" defaultMemberUniqueName="[tbl_Grades].[final_grade].[All]" allUniqueName="[tbl_Grades].[final_grade].[All]" dimensionUniqueName="[tbl_Grades]" displayFolder="" count="0" memberValueDatatype="20" unbalanced="0"/>
    <cacheHierarchy uniqueName="[tbl_Lifestyle].[student_id]" caption="student_id" attribute="1" defaultMemberUniqueName="[tbl_Lifestyle].[student_id].[All]" allUniqueName="[tbl_Lifestyle].[student_id].[All]" dimensionUniqueName="[tbl_Lifestyle]" displayFolder="" count="0" memberValueDatatype="20" unbalanced="0"/>
    <cacheHierarchy uniqueName="[tbl_Lifestyle].[activities]" caption="activities" attribute="1" defaultMemberUniqueName="[tbl_Lifestyle].[activities].[All]" allUniqueName="[tbl_Lifestyle].[activities].[All]" dimensionUniqueName="[tbl_Lifestyle]" displayFolder="" count="0" memberValueDatatype="130" unbalanced="0"/>
    <cacheHierarchy uniqueName="[tbl_Lifestyle].[internet_access]" caption="internet_access" attribute="1" defaultMemberUniqueName="[tbl_Lifestyle].[internet_access].[All]" allUniqueName="[tbl_Lifestyle].[internet_access].[All]" dimensionUniqueName="[tbl_Lifestyle]" displayFolder="" count="0"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0"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0" memberValueDatatype="20" unbalanced="0"/>
    <cacheHierarchy uniqueName="[tbl_Lifestyle].[free_time]" caption="free_time" attribute="1" defaultMemberUniqueName="[tbl_Lifestyle].[free_time].[All]" allUniqueName="[tbl_Lifestyle].[free_time].[All]" dimensionUniqueName="[tbl_Lifestyle]" displayFolder="" count="0" memberValueDatatype="20" unbalanced="0"/>
    <cacheHierarchy uniqueName="[tbl_Lifestyle].[social]" caption="social" attribute="1" defaultMemberUniqueName="[tbl_Lifestyle].[social].[All]" allUniqueName="[tbl_Lifestyle].[social].[All]" dimensionUniqueName="[tbl_Lifestyle]" displayFolder="" count="0" memberValueDatatype="20" unbalanced="0"/>
    <cacheHierarchy uniqueName="[tbl_Lifestyle].[weekday_alcohol]" caption="weekday_alcohol" attribute="1" defaultMemberUniqueName="[tbl_Lifestyle].[weekday_alcohol].[All]" allUniqueName="[tbl_Lifestyle].[weekday_alcohol].[All]" dimensionUniqueName="[tbl_Lifestyle]" displayFolder="" count="0" memberValueDatatype="20" unbalanced="0"/>
    <cacheHierarchy uniqueName="[tbl_Lifestyle].[weekend_alcohol]" caption="weekend_alcohol" attribute="1" defaultMemberUniqueName="[tbl_Lifestyle].[weekend_alcohol].[All]" allUniqueName="[tbl_Lifestyle].[weekend_alcohol].[All]" dimensionUniqueName="[tbl_Lifestyle]" displayFolder="" count="0" memberValueDatatype="20" unbalanced="0"/>
    <cacheHierarchy uniqueName="[tbl_Lifestyle].[health]" caption="health" attribute="1" defaultMemberUniqueName="[tbl_Lifestyle].[health].[All]" allUniqueName="[tbl_Lifestyle].[health].[All]" dimensionUniqueName="[tbl_Lifestyle]" displayFolder="" count="0" memberValueDatatype="20" unbalanced="0"/>
    <cacheHierarchy uniqueName="[tbl_Lifestyle].[absences]" caption="absences" attribute="1" defaultMemberUniqueName="[tbl_Lifestyle].[absences].[All]" allUniqueName="[tbl_Lifestyle].[absences].[All]" dimensionUniqueName="[tbl_Lifestyle]" displayFolder="" count="0" memberValueDatatype="20" unbalanced="0"/>
    <cacheHierarchy uniqueName="[tbl_SchoolLife].[student_id]" caption="student_id" attribute="1" defaultMemberUniqueName="[tbl_SchoolLife].[student_id].[All]" allUniqueName="[tbl_SchoolLife].[student_id].[All]" dimensionUniqueName="[tbl_SchoolLife]" displayFolder="" count="0"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0" memberValueDatatype="130" unbalanced="0"/>
    <cacheHierarchy uniqueName="[tbl_SchoolLife].[travel_time]" caption="travel_time" attribute="1" defaultMemberUniqueName="[tbl_SchoolLife].[travel_time].[All]" allUniqueName="[tbl_SchoolLife].[travel_time].[All]" dimensionUniqueName="[tbl_SchoolLife]" displayFolder="" count="0" memberValueDatatype="130" unbalanced="0"/>
    <cacheHierarchy uniqueName="[tbl_SchoolLife].[study_time]" caption="study_time" attribute="1" defaultMemberUniqueName="[tbl_SchoolLife].[study_time].[All]" allUniqueName="[tbl_SchoolLife].[study_time].[All]" dimensionUniqueName="[tbl_SchoolLife]" displayFolder="" count="0" memberValueDatatype="130" unbalanced="0"/>
    <cacheHierarchy uniqueName="[tbl_SchoolLife].[class_failures]" caption="class_failures" attribute="1" defaultMemberUniqueName="[tbl_SchoolLife].[class_failures].[All]" allUniqueName="[tbl_SchoolLife].[class_failures].[All]" dimensionUniqueName="[tbl_SchoolLife]" displayFolder="" count="0" memberValueDatatype="20" unbalanced="0"/>
    <cacheHierarchy uniqueName="[tbl_SchoolLife].[school_support]" caption="school_support" attribute="1" defaultMemberUniqueName="[tbl_SchoolLife].[school_support].[All]" allUniqueName="[tbl_SchoolLife].[school_support].[All]" dimensionUniqueName="[tbl_SchoolLife]" displayFolder="" count="0" memberValueDatatype="130" unbalanced="0"/>
    <cacheHierarchy uniqueName="[tbl_SchoolLife].[family_support]" caption="family_support" attribute="1" defaultMemberUniqueName="[tbl_SchoolLife].[family_support].[All]" allUniqueName="[tbl_SchoolLife].[family_support].[All]" dimensionUniqueName="[tbl_SchoolLife]" displayFolder="" count="0"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0" memberValueDatatype="130" unbalanced="0"/>
    <cacheHierarchy uniqueName="[tbl_SchoolLife].[nursery_school]" caption="nursery_school" attribute="1" defaultMemberUniqueName="[tbl_SchoolLife].[nursery_school].[All]" allUniqueName="[tbl_SchoolLife].[nursery_school].[All]" dimensionUniqueName="[tbl_SchoolLife]" displayFolder="" count="0" memberValueDatatype="130" unbalanced="0"/>
    <cacheHierarchy uniqueName="[tbl_SchoolLife].[higher_ed]" caption="higher_ed" attribute="1" defaultMemberUniqueName="[tbl_SchoolLife].[higher_ed].[All]" allUniqueName="[tbl_SchoolLife].[higher_ed].[All]" dimensionUniqueName="[tbl_SchoolLife]" displayFolder="" count="0" memberValueDatatype="130" unbalanced="0"/>
    <cacheHierarchy uniqueName="[tbl_Schools].[school_id]" caption="school_id" attribute="1" defaultMemberUniqueName="[tbl_Schools].[school_id].[All]" allUniqueName="[tbl_Schools].[school_id].[All]" dimensionUniqueName="[tbl_Schools]" displayFolder="" count="0" memberValueDatatype="20" unbalanced="0"/>
    <cacheHierarchy uniqueName="[tbl_Schools].[school_code]" caption="school_code" attribute="1" defaultMemberUniqueName="[tbl_Schools].[school_code].[All]" allUniqueName="[tbl_Schools].[school_code].[All]" dimensionUniqueName="[tbl_Schools]" displayFolder="" count="0" memberValueDatatype="130" unbalanced="0"/>
    <cacheHierarchy uniqueName="[tbl_Schools].[school_name]" caption="school_name" attribute="1" defaultMemberUniqueName="[tbl_Schools].[school_name].[All]" allUniqueName="[tbl_Schools].[school_name].[All]" dimensionUniqueName="[tbl_Schools]" displayFolder="" count="0" memberValueDatatype="130" unbalanced="0"/>
    <cacheHierarchy uniqueName="[tbl_Students].[student_id]" caption="student_id" attribute="1" defaultMemberUniqueName="[tbl_Students].[student_id].[All]" allUniqueName="[tbl_Students].[student_id].[All]" dimensionUniqueName="[tbl_Students]" displayFolder="" count="0" memberValueDatatype="20" unbalanced="0"/>
    <cacheHierarchy uniqueName="[tbl_Students].[sex]" caption="sex" attribute="1" defaultMemberUniqueName="[tbl_Students].[sex].[All]" allUniqueName="[tbl_Students].[sex].[All]" dimensionUniqueName="[tbl_Students]" displayFolder="" count="2" memberValueDatatype="130" unbalanced="0"/>
    <cacheHierarchy uniqueName="[tbl_Students].[age]" caption="age" attribute="1" defaultMemberUniqueName="[tbl_Students].[age].[All]" allUniqueName="[tbl_Students].[age].[All]" dimensionUniqueName="[tbl_Students]" displayFolder="" count="0" memberValueDatatype="20" unbalanced="0"/>
    <cacheHierarchy uniqueName="[tbl_Students].[address_type]" caption="address_type" attribute="1" defaultMemberUniqueName="[tbl_Students].[address_type].[All]" allUniqueName="[tbl_Students].[address_type].[All]" dimensionUniqueName="[tbl_Students]" displayFolder="" count="0" memberValueDatatype="130" unbalanced="0"/>
    <cacheHierarchy uniqueName="[tbl_Students].[family_size]" caption="family_size" attribute="1" defaultMemberUniqueName="[tbl_Students].[family_size].[All]" allUniqueName="[tbl_Students].[family_size].[All]" dimensionUniqueName="[tbl_Students]" displayFolder="" count="0" memberValueDatatype="130" unbalanced="0"/>
    <cacheHierarchy uniqueName="[tbl_Students].[parent_status]" caption="parent_status" attribute="1" defaultMemberUniqueName="[tbl_Students].[parent_status].[All]" allUniqueName="[tbl_Students].[parent_status].[All]" dimensionUniqueName="[tbl_Students]" displayFolder="" count="0" memberValueDatatype="130" unbalanced="0"/>
    <cacheHierarchy uniqueName="[tbl_Students].[guardian]" caption="guardian" attribute="1" defaultMemberUniqueName="[tbl_Students].[guardian].[All]" allUniqueName="[tbl_Students].[guardian].[All]" dimensionUniqueName="[tbl_Students]" displayFolder="" count="0" memberValueDatatype="130" unbalanced="0"/>
    <cacheHierarchy uniqueName="[tbl_Students].[school_id]" caption="school_id" attribute="1" defaultMemberUniqueName="[tbl_Students].[school_id].[All]" allUniqueName="[tbl_Students].[school_id].[All]" dimensionUniqueName="[tbl_Students]" displayFolder="" count="0" memberValueDatatype="20" unbalanced="0"/>
    <cacheHierarchy uniqueName="[tbl_Students].[School_Name]" caption="School_Name" attribute="1" defaultMemberUniqueName="[tbl_Students].[School_Name].[All]" allUniqueName="[tbl_Students].[School_Name].[All]" dimensionUniqueName="[tbl_Students]" displayFolder="" count="0" memberValueDatatype="130" unbalanced="0"/>
    <cacheHierarchy uniqueName="[tbl_Students].[Age_Group]" caption="Age_Group" attribute="1" defaultMemberUniqueName="[tbl_Students].[Age_Group].[All]" allUniqueName="[tbl_Students].[Age_Group].[All]" dimensionUniqueName="[tbl_Students]" displayFolder="" count="0" memberValueDatatype="130" unbalanced="0"/>
    <cacheHierarchy uniqueName="[Measures].[Sum of age]" caption="Sum of age" measure="1" displayFolder="" measureGroup="tbl_Students" count="0">
      <extLst>
        <ext xmlns:x15="http://schemas.microsoft.com/office/spreadsheetml/2010/11/main" uri="{B97F6D7D-B522-45F9-BDA1-12C45D357490}">
          <x15:cacheHierarchy aggregatedColumn="35"/>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3"/>
        </ext>
      </extLst>
    </cacheHierarchy>
    <cacheHierarchy uniqueName="[Measures].[Count of student_id]" caption="Count of student_id" measure="1" displayFolder="" measureGroup="tbl_Students" count="0">
      <extLst>
        <ext xmlns:x15="http://schemas.microsoft.com/office/spreadsheetml/2010/11/main" uri="{B97F6D7D-B522-45F9-BDA1-12C45D357490}">
          <x15:cacheHierarchy aggregatedColumn="33"/>
        </ext>
      </extLst>
    </cacheHierarchy>
    <cacheHierarchy uniqueName="[Measures].[Average Final Grade]" caption="Average Final Grade" measure="1" displayFolder="" measureGroup="tbl_Grades" count="0"/>
    <cacheHierarchy uniqueName="[Measures].[Pass Rate (%)]" caption="Pass Rate (%)" measure="1" displayFolder="" measureGroup="tbl_Grades" count="0"/>
    <cacheHierarchy uniqueName="[Measures].[Avg Absences]" caption="Avg Absences" measure="1" displayFolder="" measureGroup="tbl_Grades" count="0"/>
    <cacheHierarchy uniqueName="[Measures].[High Absentee Count]" caption="High Absentee Count" measure="1" displayFolder="" measureGroup="tbl_Grades" count="0"/>
    <cacheHierarchy uniqueName="[Measures].[Grade Ratio]" caption="Grade Ratio" measure="1" displayFolder="" measureGroup="tbl_Grades" count="0"/>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8092443"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ts Caramel" refreshedDate="46179.84130266204" backgroundQuery="1" createdVersion="3" refreshedVersion="8" minRefreshableVersion="3" recordCount="0" supportSubquery="1" supportAdvancedDrill="1" xr:uid="{A1349459-DD59-4471-B088-0E7FB1DED4AB}">
  <cacheSource type="external" connectionId="7">
    <extLst>
      <ext xmlns:x14="http://schemas.microsoft.com/office/spreadsheetml/2009/9/main" uri="{F057638F-6D5F-4e77-A914-E7F072B9BCA8}">
        <x14:sourceConnection name="ThisWorkbookDataModel"/>
      </ext>
    </extLst>
  </cacheSource>
  <cacheFields count="0"/>
  <cacheHierarchies count="58">
    <cacheHierarchy uniqueName="[tbl_FamilyBackground].[student_id]" caption="student_id" attribute="1" defaultMemberUniqueName="[tbl_FamilyBackground].[student_id].[All]" allUniqueName="[tbl_FamilyBackground].[student_id].[All]" dimensionUniqueName="[tbl_FamilyBackground]" displayFolder="" count="0"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0"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0"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0"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0" memberValueDatatype="130" unbalanced="0"/>
    <cacheHierarchy uniqueName="[tbl_Grades].[student_id]" caption="student_id" attribute="1" defaultMemberUniqueName="[tbl_Grades].[student_id].[All]" allUniqueName="[tbl_Grades].[student_id].[All]" dimensionUniqueName="[tbl_Grades]" displayFolder="" count="0" memberValueDatatype="20" unbalanced="0"/>
    <cacheHierarchy uniqueName="[tbl_Grades].[grade_1]" caption="grade_1" attribute="1" defaultMemberUniqueName="[tbl_Grades].[grade_1].[All]" allUniqueName="[tbl_Grades].[grade_1].[All]" dimensionUniqueName="[tbl_Grades]" displayFolder="" count="0" memberValueDatatype="20" unbalanced="0"/>
    <cacheHierarchy uniqueName="[tbl_Grades].[grade_2]" caption="grade_2" attribute="1" defaultMemberUniqueName="[tbl_Grades].[grade_2].[All]" allUniqueName="[tbl_Grades].[grade_2].[All]" dimensionUniqueName="[tbl_Grades]" displayFolder="" count="0" memberValueDatatype="20" unbalanced="0"/>
    <cacheHierarchy uniqueName="[tbl_Grades].[final_grade]" caption="final_grade" attribute="1" defaultMemberUniqueName="[tbl_Grades].[final_grade].[All]" allUniqueName="[tbl_Grades].[final_grade].[All]" dimensionUniqueName="[tbl_Grades]" displayFolder="" count="0" memberValueDatatype="20" unbalanced="0"/>
    <cacheHierarchy uniqueName="[tbl_Lifestyle].[student_id]" caption="student_id" attribute="1" defaultMemberUniqueName="[tbl_Lifestyle].[student_id].[All]" allUniqueName="[tbl_Lifestyle].[student_id].[All]" dimensionUniqueName="[tbl_Lifestyle]" displayFolder="" count="0" memberValueDatatype="20" unbalanced="0"/>
    <cacheHierarchy uniqueName="[tbl_Lifestyle].[activities]" caption="activities" attribute="1" defaultMemberUniqueName="[tbl_Lifestyle].[activities].[All]" allUniqueName="[tbl_Lifestyle].[activities].[All]" dimensionUniqueName="[tbl_Lifestyle]" displayFolder="" count="0" memberValueDatatype="130" unbalanced="0"/>
    <cacheHierarchy uniqueName="[tbl_Lifestyle].[internet_access]" caption="internet_access" attribute="1" defaultMemberUniqueName="[tbl_Lifestyle].[internet_access].[All]" allUniqueName="[tbl_Lifestyle].[internet_access].[All]" dimensionUniqueName="[tbl_Lifestyle]" displayFolder="" count="0"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0"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0" memberValueDatatype="20" unbalanced="0"/>
    <cacheHierarchy uniqueName="[tbl_Lifestyle].[free_time]" caption="free_time" attribute="1" defaultMemberUniqueName="[tbl_Lifestyle].[free_time].[All]" allUniqueName="[tbl_Lifestyle].[free_time].[All]" dimensionUniqueName="[tbl_Lifestyle]" displayFolder="" count="0" memberValueDatatype="20" unbalanced="0"/>
    <cacheHierarchy uniqueName="[tbl_Lifestyle].[social]" caption="social" attribute="1" defaultMemberUniqueName="[tbl_Lifestyle].[social].[All]" allUniqueName="[tbl_Lifestyle].[social].[All]" dimensionUniqueName="[tbl_Lifestyle]" displayFolder="" count="0" memberValueDatatype="20" unbalanced="0"/>
    <cacheHierarchy uniqueName="[tbl_Lifestyle].[weekday_alcohol]" caption="weekday_alcohol" attribute="1" defaultMemberUniqueName="[tbl_Lifestyle].[weekday_alcohol].[All]" allUniqueName="[tbl_Lifestyle].[weekday_alcohol].[All]" dimensionUniqueName="[tbl_Lifestyle]" displayFolder="" count="0" memberValueDatatype="20" unbalanced="0"/>
    <cacheHierarchy uniqueName="[tbl_Lifestyle].[weekend_alcohol]" caption="weekend_alcohol" attribute="1" defaultMemberUniqueName="[tbl_Lifestyle].[weekend_alcohol].[All]" allUniqueName="[tbl_Lifestyle].[weekend_alcohol].[All]" dimensionUniqueName="[tbl_Lifestyle]" displayFolder="" count="0" memberValueDatatype="20" unbalanced="0"/>
    <cacheHierarchy uniqueName="[tbl_Lifestyle].[health]" caption="health" attribute="1" defaultMemberUniqueName="[tbl_Lifestyle].[health].[All]" allUniqueName="[tbl_Lifestyle].[health].[All]" dimensionUniqueName="[tbl_Lifestyle]" displayFolder="" count="0" memberValueDatatype="20" unbalanced="0"/>
    <cacheHierarchy uniqueName="[tbl_Lifestyle].[absences]" caption="absences" attribute="1" defaultMemberUniqueName="[tbl_Lifestyle].[absences].[All]" allUniqueName="[tbl_Lifestyle].[absences].[All]" dimensionUniqueName="[tbl_Lifestyle]" displayFolder="" count="0" memberValueDatatype="20" unbalanced="0"/>
    <cacheHierarchy uniqueName="[tbl_SchoolLife].[student_id]" caption="student_id" attribute="1" defaultMemberUniqueName="[tbl_SchoolLife].[student_id].[All]" allUniqueName="[tbl_SchoolLife].[student_id].[All]" dimensionUniqueName="[tbl_SchoolLife]" displayFolder="" count="0"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0" memberValueDatatype="130" unbalanced="0"/>
    <cacheHierarchy uniqueName="[tbl_SchoolLife].[travel_time]" caption="travel_time" attribute="1" defaultMemberUniqueName="[tbl_SchoolLife].[travel_time].[All]" allUniqueName="[tbl_SchoolLife].[travel_time].[All]" dimensionUniqueName="[tbl_SchoolLife]" displayFolder="" count="0" memberValueDatatype="130" unbalanced="0"/>
    <cacheHierarchy uniqueName="[tbl_SchoolLife].[study_time]" caption="study_time" attribute="1" defaultMemberUniqueName="[tbl_SchoolLife].[study_time].[All]" allUniqueName="[tbl_SchoolLife].[study_time].[All]" dimensionUniqueName="[tbl_SchoolLife]" displayFolder="" count="0" memberValueDatatype="130" unbalanced="0"/>
    <cacheHierarchy uniqueName="[tbl_SchoolLife].[class_failures]" caption="class_failures" attribute="1" defaultMemberUniqueName="[tbl_SchoolLife].[class_failures].[All]" allUniqueName="[tbl_SchoolLife].[class_failures].[All]" dimensionUniqueName="[tbl_SchoolLife]" displayFolder="" count="0" memberValueDatatype="20" unbalanced="0"/>
    <cacheHierarchy uniqueName="[tbl_SchoolLife].[school_support]" caption="school_support" attribute="1" defaultMemberUniqueName="[tbl_SchoolLife].[school_support].[All]" allUniqueName="[tbl_SchoolLife].[school_support].[All]" dimensionUniqueName="[tbl_SchoolLife]" displayFolder="" count="0" memberValueDatatype="130" unbalanced="0"/>
    <cacheHierarchy uniqueName="[tbl_SchoolLife].[family_support]" caption="family_support" attribute="1" defaultMemberUniqueName="[tbl_SchoolLife].[family_support].[All]" allUniqueName="[tbl_SchoolLife].[family_support].[All]" dimensionUniqueName="[tbl_SchoolLife]" displayFolder="" count="0"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0" memberValueDatatype="130" unbalanced="0"/>
    <cacheHierarchy uniqueName="[tbl_SchoolLife].[nursery_school]" caption="nursery_school" attribute="1" defaultMemberUniqueName="[tbl_SchoolLife].[nursery_school].[All]" allUniqueName="[tbl_SchoolLife].[nursery_school].[All]" dimensionUniqueName="[tbl_SchoolLife]" displayFolder="" count="0" memberValueDatatype="130" unbalanced="0"/>
    <cacheHierarchy uniqueName="[tbl_SchoolLife].[higher_ed]" caption="higher_ed" attribute="1" defaultMemberUniqueName="[tbl_SchoolLife].[higher_ed].[All]" allUniqueName="[tbl_SchoolLife].[higher_ed].[All]" dimensionUniqueName="[tbl_SchoolLife]" displayFolder="" count="0" memberValueDatatype="130" unbalanced="0"/>
    <cacheHierarchy uniqueName="[tbl_Schools].[school_id]" caption="school_id" attribute="1" defaultMemberUniqueName="[tbl_Schools].[school_id].[All]" allUniqueName="[tbl_Schools].[school_id].[All]" dimensionUniqueName="[tbl_Schools]" displayFolder="" count="0" memberValueDatatype="20" unbalanced="0"/>
    <cacheHierarchy uniqueName="[tbl_Schools].[school_code]" caption="school_code" attribute="1" defaultMemberUniqueName="[tbl_Schools].[school_code].[All]" allUniqueName="[tbl_Schools].[school_code].[All]" dimensionUniqueName="[tbl_Schools]" displayFolder="" count="0" memberValueDatatype="130" unbalanced="0"/>
    <cacheHierarchy uniqueName="[tbl_Schools].[school_name]" caption="school_name" attribute="1" defaultMemberUniqueName="[tbl_Schools].[school_name].[All]" allUniqueName="[tbl_Schools].[school_name].[All]" dimensionUniqueName="[tbl_Schools]" displayFolder="" count="0" memberValueDatatype="130" unbalanced="0"/>
    <cacheHierarchy uniqueName="[tbl_Students].[student_id]" caption="student_id" attribute="1" defaultMemberUniqueName="[tbl_Students].[student_id].[All]" allUniqueName="[tbl_Students].[student_id].[All]" dimensionUniqueName="[tbl_Students]" displayFolder="" count="0" memberValueDatatype="20" unbalanced="0"/>
    <cacheHierarchy uniqueName="[tbl_Students].[sex]" caption="sex" attribute="1" defaultMemberUniqueName="[tbl_Students].[sex].[All]" allUniqueName="[tbl_Students].[sex].[All]" dimensionUniqueName="[tbl_Students]" displayFolder="" count="0" memberValueDatatype="130" unbalanced="0"/>
    <cacheHierarchy uniqueName="[tbl_Students].[age]" caption="age" attribute="1" defaultMemberUniqueName="[tbl_Students].[age].[All]" allUniqueName="[tbl_Students].[age].[All]" dimensionUniqueName="[tbl_Students]" displayFolder="" count="0" memberValueDatatype="20" unbalanced="0"/>
    <cacheHierarchy uniqueName="[tbl_Students].[address_type]" caption="address_type" attribute="1" defaultMemberUniqueName="[tbl_Students].[address_type].[All]" allUniqueName="[tbl_Students].[address_type].[All]" dimensionUniqueName="[tbl_Students]" displayFolder="" count="0" memberValueDatatype="130" unbalanced="0"/>
    <cacheHierarchy uniqueName="[tbl_Students].[family_size]" caption="family_size" attribute="1" defaultMemberUniqueName="[tbl_Students].[family_size].[All]" allUniqueName="[tbl_Students].[family_size].[All]" dimensionUniqueName="[tbl_Students]" displayFolder="" count="0" memberValueDatatype="130" unbalanced="0"/>
    <cacheHierarchy uniqueName="[tbl_Students].[parent_status]" caption="parent_status" attribute="1" defaultMemberUniqueName="[tbl_Students].[parent_status].[All]" allUniqueName="[tbl_Students].[parent_status].[All]" dimensionUniqueName="[tbl_Students]" displayFolder="" count="0" memberValueDatatype="130" unbalanced="0"/>
    <cacheHierarchy uniqueName="[tbl_Students].[guardian]" caption="guardian" attribute="1" defaultMemberUniqueName="[tbl_Students].[guardian].[All]" allUniqueName="[tbl_Students].[guardian].[All]" dimensionUniqueName="[tbl_Students]" displayFolder="" count="2" memberValueDatatype="130" unbalanced="0"/>
    <cacheHierarchy uniqueName="[tbl_Students].[school_id]" caption="school_id" attribute="1" defaultMemberUniqueName="[tbl_Students].[school_id].[All]" allUniqueName="[tbl_Students].[school_id].[All]" dimensionUniqueName="[tbl_Students]" displayFolder="" count="0" memberValueDatatype="20" unbalanced="0"/>
    <cacheHierarchy uniqueName="[tbl_Students].[School_Name]" caption="School_Name" attribute="1" defaultMemberUniqueName="[tbl_Students].[School_Name].[All]" allUniqueName="[tbl_Students].[School_Name].[All]" dimensionUniqueName="[tbl_Students]" displayFolder="" count="0" memberValueDatatype="130" unbalanced="0"/>
    <cacheHierarchy uniqueName="[tbl_Students].[Age_Group]" caption="Age_Group" attribute="1" defaultMemberUniqueName="[tbl_Students].[Age_Group].[All]" allUniqueName="[tbl_Students].[Age_Group].[All]" dimensionUniqueName="[tbl_Students]" displayFolder="" count="0" memberValueDatatype="130" unbalanced="0"/>
    <cacheHierarchy uniqueName="[Measures].[Sum of age]" caption="Sum of age" measure="1" displayFolder="" measureGroup="tbl_Students" count="0">
      <extLst>
        <ext xmlns:x15="http://schemas.microsoft.com/office/spreadsheetml/2010/11/main" uri="{B97F6D7D-B522-45F9-BDA1-12C45D357490}">
          <x15:cacheHierarchy aggregatedColumn="35"/>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3"/>
        </ext>
      </extLst>
    </cacheHierarchy>
    <cacheHierarchy uniqueName="[Measures].[Count of student_id]" caption="Count of student_id" measure="1" displayFolder="" measureGroup="tbl_Students" count="0">
      <extLst>
        <ext xmlns:x15="http://schemas.microsoft.com/office/spreadsheetml/2010/11/main" uri="{B97F6D7D-B522-45F9-BDA1-12C45D357490}">
          <x15:cacheHierarchy aggregatedColumn="33"/>
        </ext>
      </extLst>
    </cacheHierarchy>
    <cacheHierarchy uniqueName="[Measures].[Average Final Grade]" caption="Average Final Grade" measure="1" displayFolder="" measureGroup="tbl_Grades" count="0"/>
    <cacheHierarchy uniqueName="[Measures].[Pass Rate (%)]" caption="Pass Rate (%)" measure="1" displayFolder="" measureGroup="tbl_Grades" count="0"/>
    <cacheHierarchy uniqueName="[Measures].[Avg Absences]" caption="Avg Absences" measure="1" displayFolder="" measureGroup="tbl_Grades" count="0"/>
    <cacheHierarchy uniqueName="[Measures].[High Absentee Count]" caption="High Absentee Count" measure="1" displayFolder="" measureGroup="tbl_Grades" count="0"/>
    <cacheHierarchy uniqueName="[Measures].[Grade Ratio]" caption="Grade Ratio" measure="1" displayFolder="" measureGroup="tbl_Grades" count="0"/>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4690547"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ts Caramel" refreshedDate="46179.841306249997" backgroundQuery="1" createdVersion="3" refreshedVersion="8" minRefreshableVersion="3" recordCount="0" supportSubquery="1" supportAdvancedDrill="1" xr:uid="{DAFE1CBE-20EE-48DC-8F58-E18C5688525B}">
  <cacheSource type="external" connectionId="7">
    <extLst>
      <ext xmlns:x14="http://schemas.microsoft.com/office/spreadsheetml/2009/9/main" uri="{F057638F-6D5F-4e77-A914-E7F072B9BCA8}">
        <x14:sourceConnection name="ThisWorkbookDataModel"/>
      </ext>
    </extLst>
  </cacheSource>
  <cacheFields count="0"/>
  <cacheHierarchies count="58">
    <cacheHierarchy uniqueName="[tbl_FamilyBackground].[student_id]" caption="student_id" attribute="1" defaultMemberUniqueName="[tbl_FamilyBackground].[student_id].[All]" allUniqueName="[tbl_FamilyBackground].[student_id].[All]" dimensionUniqueName="[tbl_FamilyBackground]" displayFolder="" count="0" memberValueDatatype="20" unbalanced="0"/>
    <cacheHierarchy uniqueName="[tbl_FamilyBackground].[mother_education]" caption="mother_education" attribute="1" defaultMemberUniqueName="[tbl_FamilyBackground].[mother_education].[All]" allUniqueName="[tbl_FamilyBackground].[mother_education].[All]" dimensionUniqueName="[tbl_FamilyBackground]" displayFolder="" count="0" memberValueDatatype="130" unbalanced="0"/>
    <cacheHierarchy uniqueName="[tbl_FamilyBackground].[father_education]" caption="father_education" attribute="1" defaultMemberUniqueName="[tbl_FamilyBackground].[father_education].[All]" allUniqueName="[tbl_FamilyBackground].[father_education].[All]" dimensionUniqueName="[tbl_FamilyBackground]" displayFolder="" count="0" memberValueDatatype="130" unbalanced="0"/>
    <cacheHierarchy uniqueName="[tbl_FamilyBackground].[mother_job]" caption="mother_job" attribute="1" defaultMemberUniqueName="[tbl_FamilyBackground].[mother_job].[All]" allUniqueName="[tbl_FamilyBackground].[mother_job].[All]" dimensionUniqueName="[tbl_FamilyBackground]" displayFolder="" count="0" memberValueDatatype="130" unbalanced="0"/>
    <cacheHierarchy uniqueName="[tbl_FamilyBackground].[father_job]" caption="father_job" attribute="1" defaultMemberUniqueName="[tbl_FamilyBackground].[father_job].[All]" allUniqueName="[tbl_FamilyBackground].[father_job].[All]" dimensionUniqueName="[tbl_FamilyBackground]" displayFolder="" count="0" memberValueDatatype="130" unbalanced="0"/>
    <cacheHierarchy uniqueName="[tbl_Grades].[student_id]" caption="student_id" attribute="1" defaultMemberUniqueName="[tbl_Grades].[student_id].[All]" allUniqueName="[tbl_Grades].[student_id].[All]" dimensionUniqueName="[tbl_Grades]" displayFolder="" count="0" memberValueDatatype="20" unbalanced="0"/>
    <cacheHierarchy uniqueName="[tbl_Grades].[grade_1]" caption="grade_1" attribute="1" defaultMemberUniqueName="[tbl_Grades].[grade_1].[All]" allUniqueName="[tbl_Grades].[grade_1].[All]" dimensionUniqueName="[tbl_Grades]" displayFolder="" count="0" memberValueDatatype="20" unbalanced="0"/>
    <cacheHierarchy uniqueName="[tbl_Grades].[grade_2]" caption="grade_2" attribute="1" defaultMemberUniqueName="[tbl_Grades].[grade_2].[All]" allUniqueName="[tbl_Grades].[grade_2].[All]" dimensionUniqueName="[tbl_Grades]" displayFolder="" count="0" memberValueDatatype="20" unbalanced="0"/>
    <cacheHierarchy uniqueName="[tbl_Grades].[final_grade]" caption="final_grade" attribute="1" defaultMemberUniqueName="[tbl_Grades].[final_grade].[All]" allUniqueName="[tbl_Grades].[final_grade].[All]" dimensionUniqueName="[tbl_Grades]" displayFolder="" count="0" memberValueDatatype="20" unbalanced="0"/>
    <cacheHierarchy uniqueName="[tbl_Lifestyle].[student_id]" caption="student_id" attribute="1" defaultMemberUniqueName="[tbl_Lifestyle].[student_id].[All]" allUniqueName="[tbl_Lifestyle].[student_id].[All]" dimensionUniqueName="[tbl_Lifestyle]" displayFolder="" count="0" memberValueDatatype="20" unbalanced="0"/>
    <cacheHierarchy uniqueName="[tbl_Lifestyle].[activities]" caption="activities" attribute="1" defaultMemberUniqueName="[tbl_Lifestyle].[activities].[All]" allUniqueName="[tbl_Lifestyle].[activities].[All]" dimensionUniqueName="[tbl_Lifestyle]" displayFolder="" count="0" memberValueDatatype="130" unbalanced="0"/>
    <cacheHierarchy uniqueName="[tbl_Lifestyle].[internet_access]" caption="internet_access" attribute="1" defaultMemberUniqueName="[tbl_Lifestyle].[internet_access].[All]" allUniqueName="[tbl_Lifestyle].[internet_access].[All]" dimensionUniqueName="[tbl_Lifestyle]" displayFolder="" count="0" memberValueDatatype="130" unbalanced="0"/>
    <cacheHierarchy uniqueName="[tbl_Lifestyle].[romantic_relationship]" caption="romantic_relationship" attribute="1" defaultMemberUniqueName="[tbl_Lifestyle].[romantic_relationship].[All]" allUniqueName="[tbl_Lifestyle].[romantic_relationship].[All]" dimensionUniqueName="[tbl_Lifestyle]" displayFolder="" count="0" memberValueDatatype="130" unbalanced="0"/>
    <cacheHierarchy uniqueName="[tbl_Lifestyle].[family_relationship]" caption="family_relationship" attribute="1" defaultMemberUniqueName="[tbl_Lifestyle].[family_relationship].[All]" allUniqueName="[tbl_Lifestyle].[family_relationship].[All]" dimensionUniqueName="[tbl_Lifestyle]" displayFolder="" count="0" memberValueDatatype="20" unbalanced="0"/>
    <cacheHierarchy uniqueName="[tbl_Lifestyle].[free_time]" caption="free_time" attribute="1" defaultMemberUniqueName="[tbl_Lifestyle].[free_time].[All]" allUniqueName="[tbl_Lifestyle].[free_time].[All]" dimensionUniqueName="[tbl_Lifestyle]" displayFolder="" count="0" memberValueDatatype="20" unbalanced="0"/>
    <cacheHierarchy uniqueName="[tbl_Lifestyle].[social]" caption="social" attribute="1" defaultMemberUniqueName="[tbl_Lifestyle].[social].[All]" allUniqueName="[tbl_Lifestyle].[social].[All]" dimensionUniqueName="[tbl_Lifestyle]" displayFolder="" count="0" memberValueDatatype="20" unbalanced="0"/>
    <cacheHierarchy uniqueName="[tbl_Lifestyle].[weekday_alcohol]" caption="weekday_alcohol" attribute="1" defaultMemberUniqueName="[tbl_Lifestyle].[weekday_alcohol].[All]" allUniqueName="[tbl_Lifestyle].[weekday_alcohol].[All]" dimensionUniqueName="[tbl_Lifestyle]" displayFolder="" count="0" memberValueDatatype="20" unbalanced="0"/>
    <cacheHierarchy uniqueName="[tbl_Lifestyle].[weekend_alcohol]" caption="weekend_alcohol" attribute="1" defaultMemberUniqueName="[tbl_Lifestyle].[weekend_alcohol].[All]" allUniqueName="[tbl_Lifestyle].[weekend_alcohol].[All]" dimensionUniqueName="[tbl_Lifestyle]" displayFolder="" count="0" memberValueDatatype="20" unbalanced="0"/>
    <cacheHierarchy uniqueName="[tbl_Lifestyle].[health]" caption="health" attribute="1" defaultMemberUniqueName="[tbl_Lifestyle].[health].[All]" allUniqueName="[tbl_Lifestyle].[health].[All]" dimensionUniqueName="[tbl_Lifestyle]" displayFolder="" count="0" memberValueDatatype="20" unbalanced="0"/>
    <cacheHierarchy uniqueName="[tbl_Lifestyle].[absences]" caption="absences" attribute="1" defaultMemberUniqueName="[tbl_Lifestyle].[absences].[All]" allUniqueName="[tbl_Lifestyle].[absences].[All]" dimensionUniqueName="[tbl_Lifestyle]" displayFolder="" count="0" memberValueDatatype="20" unbalanced="0"/>
    <cacheHierarchy uniqueName="[tbl_SchoolLife].[student_id]" caption="student_id" attribute="1" defaultMemberUniqueName="[tbl_SchoolLife].[student_id].[All]" allUniqueName="[tbl_SchoolLife].[student_id].[All]" dimensionUniqueName="[tbl_SchoolLife]" displayFolder="" count="0" memberValueDatatype="20" unbalanced="0"/>
    <cacheHierarchy uniqueName="[tbl_SchoolLife].[school_choice_reason]" caption="school_choice_reason" attribute="1" defaultMemberUniqueName="[tbl_SchoolLife].[school_choice_reason].[All]" allUniqueName="[tbl_SchoolLife].[school_choice_reason].[All]" dimensionUniqueName="[tbl_SchoolLife]" displayFolder="" count="0" memberValueDatatype="130" unbalanced="0"/>
    <cacheHierarchy uniqueName="[tbl_SchoolLife].[travel_time]" caption="travel_time" attribute="1" defaultMemberUniqueName="[tbl_SchoolLife].[travel_time].[All]" allUniqueName="[tbl_SchoolLife].[travel_time].[All]" dimensionUniqueName="[tbl_SchoolLife]" displayFolder="" count="0" memberValueDatatype="130" unbalanced="0"/>
    <cacheHierarchy uniqueName="[tbl_SchoolLife].[study_time]" caption="study_time" attribute="1" defaultMemberUniqueName="[tbl_SchoolLife].[study_time].[All]" allUniqueName="[tbl_SchoolLife].[study_time].[All]" dimensionUniqueName="[tbl_SchoolLife]" displayFolder="" count="0" memberValueDatatype="130" unbalanced="0"/>
    <cacheHierarchy uniqueName="[tbl_SchoolLife].[class_failures]" caption="class_failures" attribute="1" defaultMemberUniqueName="[tbl_SchoolLife].[class_failures].[All]" allUniqueName="[tbl_SchoolLife].[class_failures].[All]" dimensionUniqueName="[tbl_SchoolLife]" displayFolder="" count="0" memberValueDatatype="20" unbalanced="0"/>
    <cacheHierarchy uniqueName="[tbl_SchoolLife].[school_support]" caption="school_support" attribute="1" defaultMemberUniqueName="[tbl_SchoolLife].[school_support].[All]" allUniqueName="[tbl_SchoolLife].[school_support].[All]" dimensionUniqueName="[tbl_SchoolLife]" displayFolder="" count="0" memberValueDatatype="130" unbalanced="0"/>
    <cacheHierarchy uniqueName="[tbl_SchoolLife].[family_support]" caption="family_support" attribute="1" defaultMemberUniqueName="[tbl_SchoolLife].[family_support].[All]" allUniqueName="[tbl_SchoolLife].[family_support].[All]" dimensionUniqueName="[tbl_SchoolLife]" displayFolder="" count="0" memberValueDatatype="130" unbalanced="0"/>
    <cacheHierarchy uniqueName="[tbl_SchoolLife].[extra_paid_classes]" caption="extra_paid_classes" attribute="1" defaultMemberUniqueName="[tbl_SchoolLife].[extra_paid_classes].[All]" allUniqueName="[tbl_SchoolLife].[extra_paid_classes].[All]" dimensionUniqueName="[tbl_SchoolLife]" displayFolder="" count="0" memberValueDatatype="130" unbalanced="0"/>
    <cacheHierarchy uniqueName="[tbl_SchoolLife].[nursery_school]" caption="nursery_school" attribute="1" defaultMemberUniqueName="[tbl_SchoolLife].[nursery_school].[All]" allUniqueName="[tbl_SchoolLife].[nursery_school].[All]" dimensionUniqueName="[tbl_SchoolLife]" displayFolder="" count="0" memberValueDatatype="130" unbalanced="0"/>
    <cacheHierarchy uniqueName="[tbl_SchoolLife].[higher_ed]" caption="higher_ed" attribute="1" defaultMemberUniqueName="[tbl_SchoolLife].[higher_ed].[All]" allUniqueName="[tbl_SchoolLife].[higher_ed].[All]" dimensionUniqueName="[tbl_SchoolLife]" displayFolder="" count="0" memberValueDatatype="130" unbalanced="0"/>
    <cacheHierarchy uniqueName="[tbl_Schools].[school_id]" caption="school_id" attribute="1" defaultMemberUniqueName="[tbl_Schools].[school_id].[All]" allUniqueName="[tbl_Schools].[school_id].[All]" dimensionUniqueName="[tbl_Schools]" displayFolder="" count="0" memberValueDatatype="20" unbalanced="0"/>
    <cacheHierarchy uniqueName="[tbl_Schools].[school_code]" caption="school_code" attribute="1" defaultMemberUniqueName="[tbl_Schools].[school_code].[All]" allUniqueName="[tbl_Schools].[school_code].[All]" dimensionUniqueName="[tbl_Schools]" displayFolder="" count="0" memberValueDatatype="130" unbalanced="0"/>
    <cacheHierarchy uniqueName="[tbl_Schools].[school_name]" caption="school_name" attribute="1" defaultMemberUniqueName="[tbl_Schools].[school_name].[All]" allUniqueName="[tbl_Schools].[school_name].[All]" dimensionUniqueName="[tbl_Schools]" displayFolder="" count="0" memberValueDatatype="130" unbalanced="0"/>
    <cacheHierarchy uniqueName="[tbl_Students].[student_id]" caption="student_id" attribute="1" defaultMemberUniqueName="[tbl_Students].[student_id].[All]" allUniqueName="[tbl_Students].[student_id].[All]" dimensionUniqueName="[tbl_Students]" displayFolder="" count="0" memberValueDatatype="20" unbalanced="0"/>
    <cacheHierarchy uniqueName="[tbl_Students].[sex]" caption="sex" attribute="1" defaultMemberUniqueName="[tbl_Students].[sex].[All]" allUniqueName="[tbl_Students].[sex].[All]" dimensionUniqueName="[tbl_Students]" displayFolder="" count="0" memberValueDatatype="130" unbalanced="0"/>
    <cacheHierarchy uniqueName="[tbl_Students].[age]" caption="age" attribute="1" defaultMemberUniqueName="[tbl_Students].[age].[All]" allUniqueName="[tbl_Students].[age].[All]" dimensionUniqueName="[tbl_Students]" displayFolder="" count="0" memberValueDatatype="20" unbalanced="0"/>
    <cacheHierarchy uniqueName="[tbl_Students].[address_type]" caption="address_type" attribute="1" defaultMemberUniqueName="[tbl_Students].[address_type].[All]" allUniqueName="[tbl_Students].[address_type].[All]" dimensionUniqueName="[tbl_Students]" displayFolder="" count="2" memberValueDatatype="130" unbalanced="0"/>
    <cacheHierarchy uniqueName="[tbl_Students].[family_size]" caption="family_size" attribute="1" defaultMemberUniqueName="[tbl_Students].[family_size].[All]" allUniqueName="[tbl_Students].[family_size].[All]" dimensionUniqueName="[tbl_Students]" displayFolder="" count="0" memberValueDatatype="130" unbalanced="0"/>
    <cacheHierarchy uniqueName="[tbl_Students].[parent_status]" caption="parent_status" attribute="1" defaultMemberUniqueName="[tbl_Students].[parent_status].[All]" allUniqueName="[tbl_Students].[parent_status].[All]" dimensionUniqueName="[tbl_Students]" displayFolder="" count="0" memberValueDatatype="130" unbalanced="0"/>
    <cacheHierarchy uniqueName="[tbl_Students].[guardian]" caption="guardian" attribute="1" defaultMemberUniqueName="[tbl_Students].[guardian].[All]" allUniqueName="[tbl_Students].[guardian].[All]" dimensionUniqueName="[tbl_Students]" displayFolder="" count="0" memberValueDatatype="130" unbalanced="0"/>
    <cacheHierarchy uniqueName="[tbl_Students].[school_id]" caption="school_id" attribute="1" defaultMemberUniqueName="[tbl_Students].[school_id].[All]" allUniqueName="[tbl_Students].[school_id].[All]" dimensionUniqueName="[tbl_Students]" displayFolder="" count="0" memberValueDatatype="20" unbalanced="0"/>
    <cacheHierarchy uniqueName="[tbl_Students].[School_Name]" caption="School_Name" attribute="1" defaultMemberUniqueName="[tbl_Students].[School_Name].[All]" allUniqueName="[tbl_Students].[School_Name].[All]" dimensionUniqueName="[tbl_Students]" displayFolder="" count="0" memberValueDatatype="130" unbalanced="0"/>
    <cacheHierarchy uniqueName="[tbl_Students].[Age_Group]" caption="Age_Group" attribute="1" defaultMemberUniqueName="[tbl_Students].[Age_Group].[All]" allUniqueName="[tbl_Students].[Age_Group].[All]" dimensionUniqueName="[tbl_Students]" displayFolder="" count="0" memberValueDatatype="130" unbalanced="0"/>
    <cacheHierarchy uniqueName="[Measures].[Sum of age]" caption="Sum of age" measure="1" displayFolder="" measureGroup="tbl_Students" count="0">
      <extLst>
        <ext xmlns:x15="http://schemas.microsoft.com/office/spreadsheetml/2010/11/main" uri="{B97F6D7D-B522-45F9-BDA1-12C45D357490}">
          <x15:cacheHierarchy aggregatedColumn="35"/>
        </ext>
      </extLst>
    </cacheHierarchy>
    <cacheHierarchy uniqueName="[Measures].[Sum of student_id]" caption="Sum of student_id" measure="1" displayFolder="" measureGroup="tbl_Students" count="0">
      <extLst>
        <ext xmlns:x15="http://schemas.microsoft.com/office/spreadsheetml/2010/11/main" uri="{B97F6D7D-B522-45F9-BDA1-12C45D357490}">
          <x15:cacheHierarchy aggregatedColumn="33"/>
        </ext>
      </extLst>
    </cacheHierarchy>
    <cacheHierarchy uniqueName="[Measures].[Count of student_id]" caption="Count of student_id" measure="1" displayFolder="" measureGroup="tbl_Students" count="0">
      <extLst>
        <ext xmlns:x15="http://schemas.microsoft.com/office/spreadsheetml/2010/11/main" uri="{B97F6D7D-B522-45F9-BDA1-12C45D357490}">
          <x15:cacheHierarchy aggregatedColumn="33"/>
        </ext>
      </extLst>
    </cacheHierarchy>
    <cacheHierarchy uniqueName="[Measures].[Average Final Grade]" caption="Average Final Grade" measure="1" displayFolder="" measureGroup="tbl_Grades" count="0"/>
    <cacheHierarchy uniqueName="[Measures].[Pass Rate (%)]" caption="Pass Rate (%)" measure="1" displayFolder="" measureGroup="tbl_Grades" count="0"/>
    <cacheHierarchy uniqueName="[Measures].[Avg Absences]" caption="Avg Absences" measure="1" displayFolder="" measureGroup="tbl_Grades" count="0"/>
    <cacheHierarchy uniqueName="[Measures].[High Absentee Count]" caption="High Absentee Count" measure="1" displayFolder="" measureGroup="tbl_Grades" count="0"/>
    <cacheHierarchy uniqueName="[Measures].[Grade Ratio]" caption="Grade Ratio" measure="1" displayFolder="" measureGroup="tbl_Grades" count="0"/>
    <cacheHierarchy uniqueName="[Measures].[__XL_Count tbl_Students]" caption="__XL_Count tbl_Students" measure="1" displayFolder="" measureGroup="tbl_Students" count="0" hidden="1"/>
    <cacheHierarchy uniqueName="[Measures].[__XL_Count tbl_Grades]" caption="__XL_Count tbl_Grades" measure="1" displayFolder="" measureGroup="tbl_Grades" count="0" hidden="1"/>
    <cacheHierarchy uniqueName="[Measures].[__XL_Count tbl_Lifestyle]" caption="__XL_Count tbl_Lifestyle" measure="1" displayFolder="" measureGroup="tbl_Lifestyle" count="0" hidden="1"/>
    <cacheHierarchy uniqueName="[Measures].[__XL_Count tbl_FamilyBackground]" caption="__XL_Count tbl_FamilyBackground" measure="1" displayFolder="" measureGroup="tbl_FamilyBackground" count="0" hidden="1"/>
    <cacheHierarchy uniqueName="[Measures].[__XL_Count tbl_SchoolLife]" caption="__XL_Count tbl_SchoolLife" measure="1" displayFolder="" measureGroup="tbl_SchoolLife" count="0" hidden="1"/>
    <cacheHierarchy uniqueName="[Measures].[__XL_Count tbl_Schools]" caption="__XL_Count tbl_Schools" measure="1" displayFolder="" measureGroup="tbl_Schoo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13335486"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841D66-B37A-406F-A661-7CA698B5F195}" name="PivotTable21" cacheId="0" applyNumberFormats="0" applyBorderFormats="0" applyFontFormats="0" applyPatternFormats="0" applyAlignmentFormats="0" applyWidthHeightFormats="1" dataCaption="Values" tag="5be96859-0ccf-4167-afe8-06bbf1faabaf" updatedVersion="8" minRefreshableVersion="3" useAutoFormatting="1" subtotalHiddenItems="1" itemPrintTitles="1" createdVersion="8" indent="0" outline="1" outlineData="1" multipleFieldFilters="0">
  <location ref="S27:T4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2"/>
  </rowFields>
  <rowItems count="17">
    <i>
      <x/>
    </i>
    <i r="1">
      <x/>
    </i>
    <i>
      <x v="1"/>
    </i>
    <i r="1">
      <x/>
    </i>
    <i>
      <x v="2"/>
    </i>
    <i r="1">
      <x v="1"/>
    </i>
    <i>
      <x v="3"/>
    </i>
    <i r="1">
      <x v="1"/>
    </i>
    <i>
      <x v="4"/>
    </i>
    <i r="1">
      <x v="2"/>
    </i>
    <i>
      <x v="5"/>
    </i>
    <i r="1">
      <x v="2"/>
    </i>
    <i>
      <x v="6"/>
    </i>
    <i r="1">
      <x v="3"/>
    </i>
    <i>
      <x v="7"/>
    </i>
    <i r="1">
      <x v="3"/>
    </i>
    <i t="grand">
      <x/>
    </i>
  </rowItems>
  <colItems count="1">
    <i/>
  </colItems>
  <dataFields count="1">
    <dataField name="Count of student_id" fld="1" subtotal="count" baseField="0" baseItem="0"/>
  </dataFields>
  <formats count="1">
    <format dxfId="3">
      <pivotArea field="0" type="button" dataOnly="0" labelOnly="1" outline="0" axis="axisRow" fieldPosition="0"/>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udent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5"/>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3DF99D-9601-434A-8A85-8D3EC45672F5}" name="PivotTable18" cacheId="5" applyNumberFormats="0" applyBorderFormats="0" applyFontFormats="0" applyPatternFormats="0" applyAlignmentFormats="0" applyWidthHeightFormats="1" dataCaption="Values" tag="ce717bbe-2651-44f5-aefe-01e18480c269" updatedVersion="8" minRefreshableVersion="3" useAutoFormatting="1" subtotalHiddenItems="1" itemPrintTitles="1" createdVersion="8" indent="0" outline="1" outlineData="1" multipleFieldFilters="0" chartFormat="11">
  <location ref="J2:L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s>
  <rowFields count="1">
    <field x="2"/>
  </rowFields>
  <rowItems count="2">
    <i>
      <x/>
    </i>
    <i t="grand">
      <x/>
    </i>
  </rowItems>
  <colFields count="1">
    <field x="-2"/>
  </colFields>
  <colItems count="2">
    <i>
      <x/>
    </i>
    <i i="1">
      <x v="1"/>
    </i>
  </colItems>
  <dataFields count="2">
    <dataField fld="0" subtotal="count" baseField="0" baseItem="0"/>
    <dataField fld="1"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Lifestyle]"/>
        <x15:activeTabTopLevelEntity name="[tbl_Grades]"/>
        <x15:activeTabTopLevelEntity name="[tbl_SchoolLife]"/>
        <x15:activeTabTopLevelEntity name="[tbl_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44B06B-D699-4E9F-9728-342485CCFC93}" name="PivotTable17" cacheId="3" applyNumberFormats="0" applyBorderFormats="0" applyFontFormats="0" applyPatternFormats="0" applyAlignmentFormats="0" applyWidthHeightFormats="1" dataCaption="Values" tag="c0276439-47d5-4655-b668-5cd4bfb5968e" updatedVersion="8" minRefreshableVersion="3" useAutoFormatting="1" subtotalHiddenItems="1" itemPrintTitles="1" createdVersion="8" indent="0" outline="1" outlineData="1" multipleFieldFilters="0" chartFormat="10">
  <location ref="F2:H8"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3"/>
  </rowFields>
  <rowItems count="6">
    <i>
      <x/>
    </i>
    <i r="1">
      <x/>
    </i>
    <i r="1">
      <x v="1"/>
    </i>
    <i r="1">
      <x v="2"/>
    </i>
    <i r="1">
      <x v="3"/>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6"/>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tudents]"/>
        <x15:activeTabTopLevelEntity name="[tbl_G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A68DB2-7583-4CC1-B99D-B5609B9BE9C5}" name="PivotTable16" cacheId="2" applyNumberFormats="0" applyBorderFormats="0" applyFontFormats="0" applyPatternFormats="0" applyAlignmentFormats="0" applyWidthHeightFormats="1" dataCaption="Values" tag="ec8e1961-86df-4d0d-a068-fa07e3bd42e3" updatedVersion="8" minRefreshableVersion="3" useAutoFormatting="1" subtotalHiddenItems="1" itemPrintTitles="1" createdVersion="8" indent="0" outline="1" outlineData="1" multipleFieldFilters="0" chartFormat="18">
  <location ref="A2:D5" firstHeaderRow="0" firstDataRow="1" firstDataCol="1"/>
  <pivotFields count="4">
    <pivotField axis="axisRow" allDrilled="1" subtotalTop="0" showAll="0" sortType="ascending"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2"/>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tudents]"/>
        <x15:activeTabTopLevelEntity name="[tbl_G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91BA55-F935-430A-8B98-BC611AED2BDB}" name="PivotTable22" cacheId="6" applyNumberFormats="0" applyBorderFormats="0" applyFontFormats="0" applyPatternFormats="0" applyAlignmentFormats="0" applyWidthHeightFormats="1" dataCaption="Values" tag="a4d473eb-4a0a-49b8-a7e1-c05768468c3f" updatedVersion="8" minRefreshableVersion="3" useAutoFormatting="1" itemPrintTitles="1" createdVersion="8" indent="0" outline="1" outlineData="1" multipleFieldFilters="0" chartFormat="4">
  <location ref="P2:R5"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_Students].[guardian].&amp;[father]"/>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tudents]"/>
        <x15:activeTabTopLevelEntity name="[tbl_G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EA3F1B-F17F-47D1-9EC1-2509669389CB}" name="PivotTable19" cacheId="4" applyNumberFormats="0" applyBorderFormats="0" applyFontFormats="0" applyPatternFormats="0" applyAlignmentFormats="0" applyWidthHeightFormats="1" dataCaption="Values" tag="365596ef-e60a-425a-908c-a3f065cc8ce4" updatedVersion="8" minRefreshableVersion="3" useAutoFormatting="1" subtotalHiddenItems="1" itemPrintTitles="1" createdVersion="8" indent="0" outline="1" outlineData="1" multipleFieldFilters="0" chartFormat="10">
  <location ref="B34:D36"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Students]"/>
        <x15:activeTabTopLevelEntity name="[tbl_Grad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BF530CF0-65AF-43F0-B251-6A6175DB6D6E}" autoFormatId="16" applyNumberFormats="0" applyBorderFormats="0" applyFontFormats="0" applyPatternFormats="0" applyAlignmentFormats="0" applyWidthHeightFormats="0">
  <queryTableRefresh nextId="20" unboundColumnsRight="2">
    <queryTableFields count="10">
      <queryTableField id="1" name="student_id" tableColumnId="1"/>
      <queryTableField id="2" name="sex" tableColumnId="2"/>
      <queryTableField id="3" name="age" tableColumnId="3"/>
      <queryTableField id="4" name="address_type" tableColumnId="4"/>
      <queryTableField id="5" name="family_size" tableColumnId="5"/>
      <queryTableField id="6" name="parent_status" tableColumnId="6"/>
      <queryTableField id="7" name="guardian" tableColumnId="7"/>
      <queryTableField id="8" name="school_id" tableColumnId="8"/>
      <queryTableField id="13" dataBound="0" tableColumnId="9"/>
      <queryTableField id="19" dataBound="0"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4A56178-F9D0-4AD3-8042-E35F289358A9}" autoFormatId="16" applyNumberFormats="0" applyBorderFormats="0" applyFontFormats="0" applyPatternFormats="0" applyAlignmentFormats="0" applyWidthHeightFormats="0">
  <queryTableRefresh nextId="16">
    <queryTableFields count="4">
      <queryTableField id="1" name="student_id" tableColumnId="1"/>
      <queryTableField id="2" name="grade_1" tableColumnId="2"/>
      <queryTableField id="3" name="grade_2" tableColumnId="3"/>
      <queryTableField id="4" name="final_grad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9398D67-C539-4445-807E-F0F9D71C9D5C}" autoFormatId="16" applyNumberFormats="0" applyBorderFormats="0" applyFontFormats="0" applyPatternFormats="0" applyAlignmentFormats="0" applyWidthHeightFormats="0">
  <queryTableRefresh nextId="23">
    <queryTableFields count="11">
      <queryTableField id="1" name="student_id" tableColumnId="1"/>
      <queryTableField id="2" name="activities" tableColumnId="2"/>
      <queryTableField id="3" name="internet_access" tableColumnId="3"/>
      <queryTableField id="4" name="romantic_relationship" tableColumnId="4"/>
      <queryTableField id="5" name="family_relationship" tableColumnId="5"/>
      <queryTableField id="6" name="free_time" tableColumnId="6"/>
      <queryTableField id="7" name="social" tableColumnId="7"/>
      <queryTableField id="8" name="weekday_alcohol" tableColumnId="8"/>
      <queryTableField id="9" name="weekend_alcohol" tableColumnId="9"/>
      <queryTableField id="10" name="health" tableColumnId="10"/>
      <queryTableField id="11" name="absences"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 xr16:uid="{CBECB6AB-263A-4354-A152-58CB133FE9A3}" autoFormatId="16" applyNumberFormats="0" applyBorderFormats="0" applyFontFormats="0" applyPatternFormats="0" applyAlignmentFormats="0" applyWidthHeightFormats="0">
  <queryTableRefresh nextId="10">
    <queryTableFields count="5">
      <queryTableField id="1" name="student_id" tableColumnId="1"/>
      <queryTableField id="2" name="mother_education" tableColumnId="2"/>
      <queryTableField id="3" name="father_education" tableColumnId="3"/>
      <queryTableField id="4" name="mother_job" tableColumnId="4"/>
      <queryTableField id="5" name="father_job"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5A34E6C9-5D11-442A-80A9-BB3E46FB8155}" autoFormatId="16" applyNumberFormats="0" applyBorderFormats="0" applyFontFormats="0" applyPatternFormats="0" applyAlignmentFormats="0" applyWidthHeightFormats="0">
  <queryTableRefresh nextId="23">
    <queryTableFields count="10">
      <queryTableField id="1" name="student_id" tableColumnId="1"/>
      <queryTableField id="2" name="school_choice_reason" tableColumnId="2"/>
      <queryTableField id="3" name="travel_time" tableColumnId="3"/>
      <queryTableField id="4" name="study_time" tableColumnId="4"/>
      <queryTableField id="5" name="class_failures" tableColumnId="5"/>
      <queryTableField id="6" name="school_support" tableColumnId="6"/>
      <queryTableField id="7" name="family_support" tableColumnId="7"/>
      <queryTableField id="8" name="extra_paid_classes" tableColumnId="8"/>
      <queryTableField id="9" name="nursery_school" tableColumnId="9"/>
      <queryTableField id="10" name="higher_ed"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5" xr16:uid="{1BC026C1-1786-4355-B0B6-E3B30DD3E9C0}" autoFormatId="16" applyNumberFormats="0" applyBorderFormats="0" applyFontFormats="0" applyPatternFormats="0" applyAlignmentFormats="0" applyWidthHeightFormats="0">
  <queryTableRefresh nextId="4">
    <queryTableFields count="3">
      <queryTableField id="1" name="school_id" tableColumnId="1"/>
      <queryTableField id="2" name="school_code" tableColumnId="2"/>
      <queryTableField id="3" name="school_nam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60DD0EAF-800A-4F96-8F8B-FD987BECE984}" sourceName="[tbl_Students].[sex]">
  <pivotTables>
    <pivotTable tabId="12" name="PivotTable16"/>
  </pivotTables>
  <data>
    <olap pivotCacheId="1128092443">
      <levels count="2">
        <level uniqueName="[tbl_Students].[sex].[(All)]" sourceCaption="(All)" count="0"/>
        <level uniqueName="[tbl_Students].[sex].[sex]" sourceCaption="sex" count="2">
          <ranges>
            <range startItem="0">
              <i n="[tbl_Students].[sex].&amp;[F]" c="F"/>
              <i n="[tbl_Students].[sex].&amp;[M]" c="M"/>
            </range>
          </ranges>
        </level>
      </levels>
      <selections count="1">
        <selection n="[tbl_Students].[sex].[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ress_type" xr10:uid="{F9B4AA44-6296-43F9-BCEB-15D1674CB6B2}" sourceName="[tbl_Students].[address_type]">
  <pivotTables>
    <pivotTable tabId="12" name="PivotTable17"/>
    <pivotTable tabId="12" name="PivotTable19"/>
  </pivotTables>
  <data>
    <olap pivotCacheId="1313335486">
      <levels count="2">
        <level uniqueName="[tbl_Students].[address_type].[(All)]" sourceCaption="(All)" count="0"/>
        <level uniqueName="[tbl_Students].[address_type].[address_type]" sourceCaption="address_type" count="2">
          <ranges>
            <range startItem="0">
              <i n="[tbl_Students].[address_type].&amp;[Rural]" c="Rural"/>
              <i n="[tbl_Students].[address_type].&amp;[Urban]" c="Urban"/>
            </range>
          </ranges>
        </level>
      </levels>
      <selections count="1">
        <selection n="[tbl_Students].[address_type].&amp;[Rura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uardian" xr10:uid="{1D670E8E-8452-47F5-AC63-D227EFC79C48}" sourceName="[tbl_Students].[guardian]">
  <pivotTables>
    <pivotTable tabId="12" name="PivotTable18"/>
    <pivotTable tabId="12" name="PivotTable22"/>
  </pivotTables>
  <data>
    <olap pivotCacheId="1904690547">
      <levels count="2">
        <level uniqueName="[tbl_Students].[guardian].[(All)]" sourceCaption="(All)" count="0"/>
        <level uniqueName="[tbl_Students].[guardian].[guardian]" sourceCaption="guardian" count="3">
          <ranges>
            <range startItem="0">
              <i n="[tbl_Students].[guardian].&amp;[father]" c="father"/>
              <i n="[tbl_Students].[guardian].&amp;[mother]" c="mother"/>
              <i n="[tbl_Students].[guardian].&amp;[other]" c="other"/>
            </range>
          </ranges>
        </level>
      </levels>
      <selections count="1">
        <selection n="[tbl_Students].[guardian].&amp;[fath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FC7EA660-0AE3-4D42-849D-28D1310F0754}" cache="Slicer_sex" caption="sex" level="1" rowHeight="241300"/>
  <slicer name="address_type 1" xr10:uid="{C9895CA6-B1C6-4E0E-9C29-DCBD8EB4898F}" cache="Slicer_address_type" caption="address_type" level="1" rowHeight="241300"/>
  <slicer name="guardian 1" xr10:uid="{ADFAE4AF-4868-41AD-BC9F-EF68D6B91D4F}" cache="Slicer_guardian" caption="guardia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CF85CC56-3272-4539-A6DF-F2889646F4DA}" cache="Slicer_sex" caption="sex" level="1" rowHeight="241300"/>
  <slicer name="address_type" xr10:uid="{7101021A-4113-4CD4-8667-8D0ADF4657A2}" cache="Slicer_address_type" caption="address_type" level="1" rowHeight="241300"/>
  <slicer name="guardian" xr10:uid="{5B988837-8933-4B9C-A882-786A7040D380}" cache="Slicer_guardian" caption="guardia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23C9B2-0121-4774-967D-9BF956281113}" name="tbl_Students" displayName="tbl_Students" ref="A1:J396" tableType="queryTable" totalsRowShown="0">
  <autoFilter ref="A1:J396" xr:uid="{0923C9B2-0121-4774-967D-9BF956281113}"/>
  <tableColumns count="10">
    <tableColumn id="1" xr3:uid="{3A757C0D-FEE6-4AC4-9FD3-6CA3AA114144}" uniqueName="1" name="student_id" queryTableFieldId="1"/>
    <tableColumn id="2" xr3:uid="{403251E9-19CF-43B4-B8B9-F857E2D81385}" uniqueName="2" name="sex" queryTableFieldId="2" dataDxfId="27"/>
    <tableColumn id="3" xr3:uid="{0C3C0A34-FB54-4EA8-A36F-3CE1ADDE09A0}" uniqueName="3" name="age" queryTableFieldId="3"/>
    <tableColumn id="4" xr3:uid="{FB34EBB2-1762-4F5D-A660-72DBB854450C}" uniqueName="4" name="address_type" queryTableFieldId="4" dataDxfId="26"/>
    <tableColumn id="5" xr3:uid="{37FDBFE9-E0B5-4097-8A4F-63FD97F53358}" uniqueName="5" name="family_size" queryTableFieldId="5" dataDxfId="25"/>
    <tableColumn id="6" xr3:uid="{2EF2F7E2-1F37-4425-BE2D-DBEEBA1ADF6A}" uniqueName="6" name="parent_status" queryTableFieldId="6" dataDxfId="24"/>
    <tableColumn id="7" xr3:uid="{0BC8612B-EBB3-45DE-848E-97B44BB3317E}" uniqueName="7" name="guardian" queryTableFieldId="7" dataDxfId="23"/>
    <tableColumn id="8" xr3:uid="{3802B180-EF4D-4461-A606-054C9FDB08BF}" uniqueName="8" name="school_id" queryTableFieldId="8"/>
    <tableColumn id="9" xr3:uid="{CC377740-EA5E-41F0-81D4-E22BDADF136B}" uniqueName="9" name="School_Name" queryTableFieldId="13" dataDxfId="22">
      <calculatedColumnFormula>_xlfn.XLOOKUP(tbl_Students[[#This Row],[school_id]],tbl_Schools[school_id],tbl_Schools[school_name],"Unknown")</calculatedColumnFormula>
    </tableColumn>
    <tableColumn id="15" xr3:uid="{1A50420A-D3C4-4C94-8DC8-79266AF68FCE}" uniqueName="15" name="Age_Group" queryTableFieldId="19" dataDxfId="21">
      <calculatedColumnFormula>IF(C2&lt;=16,"15-16",IF(C2&lt;=18,"17-18",IF(C2&lt;=20,"19-20","21-22")))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20DD4-F5BF-4290-8A23-BA85B520D7F7}" name="tbl_Grades" displayName="tbl_Grades" ref="A1:D396" tableType="queryTable" totalsRowShown="0">
  <autoFilter ref="A1:D396" xr:uid="{93A20DD4-F5BF-4290-8A23-BA85B520D7F7}"/>
  <tableColumns count="4">
    <tableColumn id="1" xr3:uid="{46621B31-5AD3-4E84-BDA1-2AF378BC5D4C}" uniqueName="1" name="student_id" queryTableFieldId="1"/>
    <tableColumn id="2" xr3:uid="{C464A4F9-9A1C-4DDE-83FD-977E87B8E2C0}" uniqueName="2" name="grade_1" queryTableFieldId="2"/>
    <tableColumn id="3" xr3:uid="{D3F63347-4E37-425E-A3D7-7274BC39AA0D}" uniqueName="3" name="grade_2" queryTableFieldId="3"/>
    <tableColumn id="4" xr3:uid="{4B5DEF25-F4BD-414C-AC51-44B26EE892AB}" uniqueName="4" name="final_grad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436EA9-5E4F-4D00-BF90-2A2DC6905A28}" name="tbl_Lifestyle" displayName="tbl_Lifestyle" ref="A1:K396" tableType="queryTable" totalsRowShown="0">
  <autoFilter ref="A1:K396" xr:uid="{FA436EA9-5E4F-4D00-BF90-2A2DC6905A28}"/>
  <tableColumns count="11">
    <tableColumn id="1" xr3:uid="{011BB83C-3388-4F0C-A117-C48BD999B23D}" uniqueName="1" name="student_id" queryTableFieldId="1"/>
    <tableColumn id="2" xr3:uid="{C7899C20-E290-4FB7-953E-311CF7879F6D}" uniqueName="2" name="activities" queryTableFieldId="2" dataDxfId="20"/>
    <tableColumn id="3" xr3:uid="{B8F797E9-5720-4690-9751-53389D80785C}" uniqueName="3" name="internet_access" queryTableFieldId="3" dataDxfId="19"/>
    <tableColumn id="4" xr3:uid="{01188994-31B1-4D71-BF87-F35359B89EA1}" uniqueName="4" name="romantic_relationship" queryTableFieldId="4" dataDxfId="18"/>
    <tableColumn id="5" xr3:uid="{A3A4D21E-2CBB-4222-B14F-8E3EBB07EF82}" uniqueName="5" name="family_relationship" queryTableFieldId="5"/>
    <tableColumn id="6" xr3:uid="{8E4F95F9-C625-4A53-8128-30878A36DD3D}" uniqueName="6" name="free_time" queryTableFieldId="6"/>
    <tableColumn id="7" xr3:uid="{4EC8B383-9B44-4825-A9A2-B0E25C7B30C4}" uniqueName="7" name="social" queryTableFieldId="7"/>
    <tableColumn id="8" xr3:uid="{49E7332D-3A3C-47DB-B7DB-048DA44E72A6}" uniqueName="8" name="weekday_alcohol" queryTableFieldId="8"/>
    <tableColumn id="9" xr3:uid="{2CA0FEE8-C3C6-4869-B602-9EE8EB4572F9}" uniqueName="9" name="weekend_alcohol" queryTableFieldId="9"/>
    <tableColumn id="10" xr3:uid="{8DBEC962-8260-4218-842D-CBA3D3552C0A}" uniqueName="10" name="health" queryTableFieldId="10"/>
    <tableColumn id="11" xr3:uid="{3A5FD9CC-2D00-498C-921B-5B4E08259063}" uniqueName="11" name="absences"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746470-8B89-4C52-B988-4E4D2D5CEF52}" name="tbl_FamilyBackground" displayName="tbl_FamilyBackground" ref="A1:E396" tableType="queryTable" totalsRowShown="0">
  <autoFilter ref="A1:E396" xr:uid="{93746470-8B89-4C52-B988-4E4D2D5CEF52}"/>
  <tableColumns count="5">
    <tableColumn id="1" xr3:uid="{99D40A1D-D748-4735-AE6C-6E572CEA14F6}" uniqueName="1" name="student_id" queryTableFieldId="1"/>
    <tableColumn id="2" xr3:uid="{D8239D58-5A6F-4F32-8686-814776FD59F8}" uniqueName="2" name="mother_education" queryTableFieldId="2" dataDxfId="17"/>
    <tableColumn id="3" xr3:uid="{3A6D8A43-1DFB-49F7-AF8D-92D6F633FA35}" uniqueName="3" name="father_education" queryTableFieldId="3" dataDxfId="16"/>
    <tableColumn id="4" xr3:uid="{117E916D-BF7E-4CCD-AA29-6AE1FC8F8F0E}" uniqueName="4" name="mother_job" queryTableFieldId="4" dataDxfId="15"/>
    <tableColumn id="5" xr3:uid="{426C5F8C-872E-4014-B4CF-D64EC26DBB19}" uniqueName="5" name="father_job" queryTableFieldId="5" dataDxf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8C7067-D1D9-494F-8A73-00D5E6056EB8}" name="tbl_SchoolLife" displayName="tbl_SchoolLife" ref="A1:J396" tableType="queryTable" totalsRowShown="0">
  <autoFilter ref="A1:J396" xr:uid="{748C7067-D1D9-494F-8A73-00D5E6056EB8}"/>
  <tableColumns count="10">
    <tableColumn id="1" xr3:uid="{A931DDB8-F552-41A6-964E-A4A3FC06A61C}" uniqueName="1" name="student_id" queryTableFieldId="1"/>
    <tableColumn id="2" xr3:uid="{5A36C86A-A0B0-4C9A-9605-96273E439AE1}" uniqueName="2" name="school_choice_reason" queryTableFieldId="2" dataDxfId="13"/>
    <tableColumn id="3" xr3:uid="{3CAFB807-44F0-4FC4-9018-8CEF95F7146D}" uniqueName="3" name="travel_time" queryTableFieldId="3" dataDxfId="12"/>
    <tableColumn id="4" xr3:uid="{02893D33-44EC-47FE-9406-115722397A4E}" uniqueName="4" name="study_time" queryTableFieldId="4" dataDxfId="11"/>
    <tableColumn id="5" xr3:uid="{BB582762-8F57-4F39-8D09-1A4657154A5B}" uniqueName="5" name="class_failures" queryTableFieldId="5"/>
    <tableColumn id="6" xr3:uid="{AE8F157E-1D55-4D6B-BA8C-B7C6A3A0D98E}" uniqueName="6" name="school_support" queryTableFieldId="6" dataDxfId="10"/>
    <tableColumn id="7" xr3:uid="{6B20AB0D-A28A-4E60-95DC-3E1A09FEC72F}" uniqueName="7" name="family_support" queryTableFieldId="7" dataDxfId="9"/>
    <tableColumn id="8" xr3:uid="{9FDBDBDB-1EF7-4AB2-B52A-E3915CB19364}" uniqueName="8" name="extra_paid_classes" queryTableFieldId="8" dataDxfId="8"/>
    <tableColumn id="9" xr3:uid="{3C16A034-BAAB-44EC-A7D2-E6C062ACD17C}" uniqueName="9" name="nursery_school" queryTableFieldId="9" dataDxfId="7"/>
    <tableColumn id="10" xr3:uid="{F5823E71-7A77-41F9-ABCE-A19BA4A5626F}" uniqueName="10" name="higher_ed" queryTableFieldId="10"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A8670E-15F2-44AA-AB9A-14B8994335E7}" name="tbl_Schools" displayName="tbl_Schools" ref="A1:C3" tableType="queryTable" totalsRowShown="0">
  <autoFilter ref="A1:C3" xr:uid="{0AA8670E-15F2-44AA-AB9A-14B8994335E7}"/>
  <tableColumns count="3">
    <tableColumn id="1" xr3:uid="{C0B59790-28FD-403E-AAF0-E1AD0C8E357F}" uniqueName="1" name="school_id" queryTableFieldId="1"/>
    <tableColumn id="2" xr3:uid="{A985652C-ABD8-4AE3-9688-426AEE3053B0}" uniqueName="2" name="school_code" queryTableFieldId="2" dataDxfId="5"/>
    <tableColumn id="3" xr3:uid="{3A824E9A-E609-420C-82BD-54FE6831FB82}" uniqueName="3" name="school_name" queryTableFieldId="3" dataDxf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BC56F9-DBF2-4320-B83F-69CEB455F5FB}" name="Table7" displayName="Table7" ref="B2:C10" totalsRowShown="0">
  <autoFilter ref="B2:C10" xr:uid="{91BC56F9-DBF2-4320-B83F-69CEB455F5FB}"/>
  <tableColumns count="2">
    <tableColumn id="1" xr3:uid="{85C934A8-F5BC-47C5-86D0-29BACA656321}" name="Analysis Named Ranges Directory"/>
    <tableColumn id="2" xr3:uid="{79F45590-CEAD-49E9-9A2D-2598159C4FA6}" name="Resul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37AD82-7FAB-4523-8188-94EED44046C6}" name="Table11" displayName="Table11" ref="H1:I5" totalsRowShown="0">
  <autoFilter ref="H1:I5" xr:uid="{5C37AD82-7FAB-4523-8188-94EED44046C6}"/>
  <tableColumns count="2">
    <tableColumn id="1" xr3:uid="{352D7B83-753A-4A47-8997-A25D39849E58}" name="Power Pivot KPIs"/>
    <tableColumn id="2" xr3:uid="{D6202901-5F79-4C32-9A01-D87211D9BD40}" nam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C3046CB-0AA7-4B9F-A962-01ECFDE479A9}" name="Table8" displayName="Table8" ref="L2:M4" totalsRowShown="0">
  <autoFilter ref="L2:M4" xr:uid="{0C3046CB-0AA7-4B9F-A962-01ECFDE479A9}"/>
  <tableColumns count="2">
    <tableColumn id="1" xr3:uid="{E1AE63B5-2B33-456A-B423-63C5F79C2902}" name="School"/>
    <tableColumn id="2" xr3:uid="{BE7D3363-62A1-406F-9426-8467D1EF6D7F}" name="Avg Grade" dataDxfId="2">
      <calculatedColumnFormula array="1">AVERAGEIF(tbl_Students[school_id],2,FinalGrades)</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A8918A1-2689-440D-A495-063D8D8CC982}" name="Table9" displayName="Table9" ref="L23:M26" totalsRowShown="0">
  <autoFilter ref="L23:M26" xr:uid="{9A8918A1-2689-440D-A495-063D8D8CC982}"/>
  <tableColumns count="2">
    <tableColumn id="1" xr3:uid="{0A7EDDAE-D1B2-49F1-A99D-48FCF204C454}" name="Period"/>
    <tableColumn id="2" xr3:uid="{78F36512-7AF1-475D-AC25-59E01A988341}" name="Average" dataDxfId="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D7DD02F-FC90-4439-95E0-0C4E34257AB1}" name="Table10" displayName="Table10" ref="L47:M49" totalsRowShown="0">
  <autoFilter ref="L47:M49" xr:uid="{6D7DD02F-FC90-4439-95E0-0C4E34257AB1}"/>
  <tableColumns count="2">
    <tableColumn id="1" xr3:uid="{65CCF6D0-CB51-4F9A-8238-7C3B6E9688FA}" name="Access"/>
    <tableColumn id="2" xr3:uid="{B8F0C27E-5389-4A13-9A6A-631DBF0B8F46}" name="Count">
      <calculatedColumnFormula>COUNTIF(tbl_Lifestyle[internet_access],"no")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4.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D474-DEB8-4D75-84EB-913C34592785}">
  <dimension ref="A1:J396"/>
  <sheetViews>
    <sheetView workbookViewId="0">
      <selection activeCell="J3" sqref="J3"/>
    </sheetView>
  </sheetViews>
  <sheetFormatPr defaultRowHeight="14.5" x14ac:dyDescent="0.35"/>
  <cols>
    <col min="1" max="1" width="11.7265625" bestFit="1" customWidth="1"/>
    <col min="2" max="2" width="5.6328125" bestFit="1" customWidth="1"/>
    <col min="3" max="3" width="5.81640625" bestFit="1" customWidth="1"/>
    <col min="4" max="4" width="13.81640625" bestFit="1" customWidth="1"/>
    <col min="5" max="5" width="18.6328125" bestFit="1" customWidth="1"/>
    <col min="6" max="6" width="14.1796875" bestFit="1" customWidth="1"/>
    <col min="7" max="7" width="10.08984375" bestFit="1" customWidth="1"/>
    <col min="8" max="8" width="10.6328125" bestFit="1" customWidth="1"/>
    <col min="9" max="9" width="17.26953125" bestFit="1" customWidth="1"/>
  </cols>
  <sheetData>
    <row r="1" spans="1:10" x14ac:dyDescent="0.35">
      <c r="A1" t="s">
        <v>0</v>
      </c>
      <c r="B1" t="s">
        <v>13</v>
      </c>
      <c r="C1" t="s">
        <v>14</v>
      </c>
      <c r="D1" t="s">
        <v>15</v>
      </c>
      <c r="E1" t="s">
        <v>16</v>
      </c>
      <c r="F1" t="s">
        <v>17</v>
      </c>
      <c r="G1" t="s">
        <v>18</v>
      </c>
      <c r="H1" t="s">
        <v>19</v>
      </c>
      <c r="I1" t="s">
        <v>86</v>
      </c>
      <c r="J1" t="s">
        <v>123</v>
      </c>
    </row>
    <row r="2" spans="1:10" x14ac:dyDescent="0.35">
      <c r="A2">
        <v>1</v>
      </c>
      <c r="B2" t="s">
        <v>20</v>
      </c>
      <c r="C2">
        <v>18</v>
      </c>
      <c r="D2" t="s">
        <v>21</v>
      </c>
      <c r="E2" t="s">
        <v>22</v>
      </c>
      <c r="F2" t="s">
        <v>23</v>
      </c>
      <c r="G2" t="s">
        <v>112</v>
      </c>
      <c r="H2">
        <v>1</v>
      </c>
      <c r="I2" t="str">
        <f>_xlfn.XLOOKUP(tbl_Students[[#This Row],[school_id]],tbl_Schools[school_id],tbl_Schools[school_name],"Unknown")</f>
        <v>Gabriel Pereira</v>
      </c>
      <c r="J2" t="str">
        <f t="shared" ref="J2:J65" si="0">IF(C2&lt;=16,"15-16",IF(C2&lt;=18,"17-18",IF(C2&lt;=20,"19-20","21-22")))</f>
        <v>17-18</v>
      </c>
    </row>
    <row r="3" spans="1:10" x14ac:dyDescent="0.35">
      <c r="A3">
        <v>2</v>
      </c>
      <c r="B3" t="s">
        <v>20</v>
      </c>
      <c r="C3">
        <v>17</v>
      </c>
      <c r="D3" t="s">
        <v>21</v>
      </c>
      <c r="E3" t="s">
        <v>22</v>
      </c>
      <c r="F3" t="s">
        <v>24</v>
      </c>
      <c r="G3" t="s">
        <v>113</v>
      </c>
      <c r="H3">
        <v>1</v>
      </c>
      <c r="I3" t="str">
        <f>_xlfn.XLOOKUP(tbl_Students[[#This Row],[school_id]],tbl_Schools[school_id],tbl_Schools[school_name],"Unknown")</f>
        <v>Gabriel Pereira</v>
      </c>
      <c r="J3" t="str">
        <f t="shared" si="0"/>
        <v>17-18</v>
      </c>
    </row>
    <row r="4" spans="1:10" x14ac:dyDescent="0.35">
      <c r="A4">
        <v>3</v>
      </c>
      <c r="B4" t="s">
        <v>20</v>
      </c>
      <c r="C4">
        <v>15</v>
      </c>
      <c r="D4" t="s">
        <v>21</v>
      </c>
      <c r="E4" t="s">
        <v>25</v>
      </c>
      <c r="F4" t="s">
        <v>24</v>
      </c>
      <c r="G4" t="s">
        <v>112</v>
      </c>
      <c r="H4">
        <v>1</v>
      </c>
      <c r="I4" t="str">
        <f>_xlfn.XLOOKUP(tbl_Students[[#This Row],[school_id]],tbl_Schools[school_id],tbl_Schools[school_name],"Unknown")</f>
        <v>Gabriel Pereira</v>
      </c>
      <c r="J4" t="str">
        <f t="shared" si="0"/>
        <v>15-16</v>
      </c>
    </row>
    <row r="5" spans="1:10" x14ac:dyDescent="0.35">
      <c r="A5">
        <v>4</v>
      </c>
      <c r="B5" t="s">
        <v>20</v>
      </c>
      <c r="C5">
        <v>15</v>
      </c>
      <c r="D5" t="s">
        <v>21</v>
      </c>
      <c r="E5" t="s">
        <v>22</v>
      </c>
      <c r="F5" t="s">
        <v>24</v>
      </c>
      <c r="G5" t="s">
        <v>112</v>
      </c>
      <c r="H5">
        <v>1</v>
      </c>
      <c r="I5" t="str">
        <f>_xlfn.XLOOKUP(tbl_Students[[#This Row],[school_id]],tbl_Schools[school_id],tbl_Schools[school_name],"Unknown")</f>
        <v>Gabriel Pereira</v>
      </c>
      <c r="J5" t="str">
        <f t="shared" si="0"/>
        <v>15-16</v>
      </c>
    </row>
    <row r="6" spans="1:10" x14ac:dyDescent="0.35">
      <c r="A6">
        <v>5</v>
      </c>
      <c r="B6" t="s">
        <v>20</v>
      </c>
      <c r="C6">
        <v>16</v>
      </c>
      <c r="D6" t="s">
        <v>21</v>
      </c>
      <c r="E6" t="s">
        <v>22</v>
      </c>
      <c r="F6" t="s">
        <v>24</v>
      </c>
      <c r="G6" t="s">
        <v>113</v>
      </c>
      <c r="H6">
        <v>1</v>
      </c>
      <c r="I6" t="str">
        <f>_xlfn.XLOOKUP(tbl_Students[[#This Row],[school_id]],tbl_Schools[school_id],tbl_Schools[school_name],"Unknown")</f>
        <v>Gabriel Pereira</v>
      </c>
      <c r="J6" t="str">
        <f t="shared" si="0"/>
        <v>15-16</v>
      </c>
    </row>
    <row r="7" spans="1:10" x14ac:dyDescent="0.35">
      <c r="A7">
        <v>6</v>
      </c>
      <c r="B7" t="s">
        <v>26</v>
      </c>
      <c r="C7">
        <v>16</v>
      </c>
      <c r="D7" t="s">
        <v>21</v>
      </c>
      <c r="E7" t="s">
        <v>25</v>
      </c>
      <c r="F7" t="s">
        <v>24</v>
      </c>
      <c r="G7" t="s">
        <v>112</v>
      </c>
      <c r="H7">
        <v>1</v>
      </c>
      <c r="I7" t="str">
        <f>_xlfn.XLOOKUP(tbl_Students[[#This Row],[school_id]],tbl_Schools[school_id],tbl_Schools[school_name],"Unknown")</f>
        <v>Gabriel Pereira</v>
      </c>
      <c r="J7" t="str">
        <f t="shared" si="0"/>
        <v>15-16</v>
      </c>
    </row>
    <row r="8" spans="1:10" x14ac:dyDescent="0.35">
      <c r="A8">
        <v>7</v>
      </c>
      <c r="B8" t="s">
        <v>26</v>
      </c>
      <c r="C8">
        <v>16</v>
      </c>
      <c r="D8" t="s">
        <v>21</v>
      </c>
      <c r="E8" t="s">
        <v>25</v>
      </c>
      <c r="F8" t="s">
        <v>24</v>
      </c>
      <c r="G8" t="s">
        <v>112</v>
      </c>
      <c r="H8">
        <v>1</v>
      </c>
      <c r="I8" t="str">
        <f>_xlfn.XLOOKUP(tbl_Students[[#This Row],[school_id]],tbl_Schools[school_id],tbl_Schools[school_name],"Unknown")</f>
        <v>Gabriel Pereira</v>
      </c>
      <c r="J8" t="str">
        <f t="shared" si="0"/>
        <v>15-16</v>
      </c>
    </row>
    <row r="9" spans="1:10" x14ac:dyDescent="0.35">
      <c r="A9">
        <v>8</v>
      </c>
      <c r="B9" t="s">
        <v>20</v>
      </c>
      <c r="C9">
        <v>17</v>
      </c>
      <c r="D9" t="s">
        <v>21</v>
      </c>
      <c r="E9" t="s">
        <v>22</v>
      </c>
      <c r="F9" t="s">
        <v>23</v>
      </c>
      <c r="G9" t="s">
        <v>112</v>
      </c>
      <c r="H9">
        <v>1</v>
      </c>
      <c r="I9" t="str">
        <f>_xlfn.XLOOKUP(tbl_Students[[#This Row],[school_id]],tbl_Schools[school_id],tbl_Schools[school_name],"Unknown")</f>
        <v>Gabriel Pereira</v>
      </c>
      <c r="J9" t="str">
        <f t="shared" si="0"/>
        <v>17-18</v>
      </c>
    </row>
    <row r="10" spans="1:10" x14ac:dyDescent="0.35">
      <c r="A10">
        <v>9</v>
      </c>
      <c r="B10" t="s">
        <v>26</v>
      </c>
      <c r="C10">
        <v>15</v>
      </c>
      <c r="D10" t="s">
        <v>21</v>
      </c>
      <c r="E10" t="s">
        <v>25</v>
      </c>
      <c r="F10" t="s">
        <v>23</v>
      </c>
      <c r="G10" t="s">
        <v>112</v>
      </c>
      <c r="H10">
        <v>1</v>
      </c>
      <c r="I10" t="str">
        <f>_xlfn.XLOOKUP(tbl_Students[[#This Row],[school_id]],tbl_Schools[school_id],tbl_Schools[school_name],"Unknown")</f>
        <v>Gabriel Pereira</v>
      </c>
      <c r="J10" t="str">
        <f t="shared" si="0"/>
        <v>15-16</v>
      </c>
    </row>
    <row r="11" spans="1:10" x14ac:dyDescent="0.35">
      <c r="A11">
        <v>10</v>
      </c>
      <c r="B11" t="s">
        <v>26</v>
      </c>
      <c r="C11">
        <v>15</v>
      </c>
      <c r="D11" t="s">
        <v>21</v>
      </c>
      <c r="E11" t="s">
        <v>22</v>
      </c>
      <c r="F11" t="s">
        <v>24</v>
      </c>
      <c r="G11" t="s">
        <v>112</v>
      </c>
      <c r="H11">
        <v>1</v>
      </c>
      <c r="I11" t="str">
        <f>_xlfn.XLOOKUP(tbl_Students[[#This Row],[school_id]],tbl_Schools[school_id],tbl_Schools[school_name],"Unknown")</f>
        <v>Gabriel Pereira</v>
      </c>
      <c r="J11" t="str">
        <f t="shared" si="0"/>
        <v>15-16</v>
      </c>
    </row>
    <row r="12" spans="1:10" x14ac:dyDescent="0.35">
      <c r="A12">
        <v>11</v>
      </c>
      <c r="B12" t="s">
        <v>20</v>
      </c>
      <c r="C12">
        <v>15</v>
      </c>
      <c r="D12" t="s">
        <v>21</v>
      </c>
      <c r="E12" t="s">
        <v>22</v>
      </c>
      <c r="F12" t="s">
        <v>24</v>
      </c>
      <c r="G12" t="s">
        <v>112</v>
      </c>
      <c r="H12">
        <v>1</v>
      </c>
      <c r="I12" t="str">
        <f>_xlfn.XLOOKUP(tbl_Students[[#This Row],[school_id]],tbl_Schools[school_id],tbl_Schools[school_name],"Unknown")</f>
        <v>Gabriel Pereira</v>
      </c>
      <c r="J12" t="str">
        <f t="shared" si="0"/>
        <v>15-16</v>
      </c>
    </row>
    <row r="13" spans="1:10" x14ac:dyDescent="0.35">
      <c r="A13">
        <v>12</v>
      </c>
      <c r="B13" t="s">
        <v>20</v>
      </c>
      <c r="C13">
        <v>15</v>
      </c>
      <c r="D13" t="s">
        <v>21</v>
      </c>
      <c r="E13" t="s">
        <v>22</v>
      </c>
      <c r="F13" t="s">
        <v>24</v>
      </c>
      <c r="G13" t="s">
        <v>113</v>
      </c>
      <c r="H13">
        <v>1</v>
      </c>
      <c r="I13" t="str">
        <f>_xlfn.XLOOKUP(tbl_Students[[#This Row],[school_id]],tbl_Schools[school_id],tbl_Schools[school_name],"Unknown")</f>
        <v>Gabriel Pereira</v>
      </c>
      <c r="J13" t="str">
        <f t="shared" si="0"/>
        <v>15-16</v>
      </c>
    </row>
    <row r="14" spans="1:10" x14ac:dyDescent="0.35">
      <c r="A14">
        <v>13</v>
      </c>
      <c r="B14" t="s">
        <v>26</v>
      </c>
      <c r="C14">
        <v>15</v>
      </c>
      <c r="D14" t="s">
        <v>21</v>
      </c>
      <c r="E14" t="s">
        <v>25</v>
      </c>
      <c r="F14" t="s">
        <v>24</v>
      </c>
      <c r="G14" t="s">
        <v>113</v>
      </c>
      <c r="H14">
        <v>1</v>
      </c>
      <c r="I14" t="str">
        <f>_xlfn.XLOOKUP(tbl_Students[[#This Row],[school_id]],tbl_Schools[school_id],tbl_Schools[school_name],"Unknown")</f>
        <v>Gabriel Pereira</v>
      </c>
      <c r="J14" t="str">
        <f t="shared" si="0"/>
        <v>15-16</v>
      </c>
    </row>
    <row r="15" spans="1:10" x14ac:dyDescent="0.35">
      <c r="A15">
        <v>14</v>
      </c>
      <c r="B15" t="s">
        <v>26</v>
      </c>
      <c r="C15">
        <v>15</v>
      </c>
      <c r="D15" t="s">
        <v>21</v>
      </c>
      <c r="E15" t="s">
        <v>22</v>
      </c>
      <c r="F15" t="s">
        <v>24</v>
      </c>
      <c r="G15" t="s">
        <v>112</v>
      </c>
      <c r="H15">
        <v>1</v>
      </c>
      <c r="I15" t="str">
        <f>_xlfn.XLOOKUP(tbl_Students[[#This Row],[school_id]],tbl_Schools[school_id],tbl_Schools[school_name],"Unknown")</f>
        <v>Gabriel Pereira</v>
      </c>
      <c r="J15" t="str">
        <f t="shared" si="0"/>
        <v>15-16</v>
      </c>
    </row>
    <row r="16" spans="1:10" x14ac:dyDescent="0.35">
      <c r="A16">
        <v>15</v>
      </c>
      <c r="B16" t="s">
        <v>26</v>
      </c>
      <c r="C16">
        <v>15</v>
      </c>
      <c r="D16" t="s">
        <v>21</v>
      </c>
      <c r="E16" t="s">
        <v>22</v>
      </c>
      <c r="F16" t="s">
        <v>23</v>
      </c>
      <c r="G16" t="s">
        <v>27</v>
      </c>
      <c r="H16">
        <v>1</v>
      </c>
      <c r="I16" t="str">
        <f>_xlfn.XLOOKUP(tbl_Students[[#This Row],[school_id]],tbl_Schools[school_id],tbl_Schools[school_name],"Unknown")</f>
        <v>Gabriel Pereira</v>
      </c>
      <c r="J16" t="str">
        <f t="shared" si="0"/>
        <v>15-16</v>
      </c>
    </row>
    <row r="17" spans="1:10" x14ac:dyDescent="0.35">
      <c r="A17">
        <v>16</v>
      </c>
      <c r="B17" t="s">
        <v>20</v>
      </c>
      <c r="C17">
        <v>16</v>
      </c>
      <c r="D17" t="s">
        <v>21</v>
      </c>
      <c r="E17" t="s">
        <v>22</v>
      </c>
      <c r="F17" t="s">
        <v>24</v>
      </c>
      <c r="G17" t="s">
        <v>112</v>
      </c>
      <c r="H17">
        <v>1</v>
      </c>
      <c r="I17" t="str">
        <f>_xlfn.XLOOKUP(tbl_Students[[#This Row],[school_id]],tbl_Schools[school_id],tbl_Schools[school_name],"Unknown")</f>
        <v>Gabriel Pereira</v>
      </c>
      <c r="J17" t="str">
        <f t="shared" si="0"/>
        <v>15-16</v>
      </c>
    </row>
    <row r="18" spans="1:10" x14ac:dyDescent="0.35">
      <c r="A18">
        <v>17</v>
      </c>
      <c r="B18" t="s">
        <v>20</v>
      </c>
      <c r="C18">
        <v>16</v>
      </c>
      <c r="D18" t="s">
        <v>21</v>
      </c>
      <c r="E18" t="s">
        <v>22</v>
      </c>
      <c r="F18" t="s">
        <v>24</v>
      </c>
      <c r="G18" t="s">
        <v>112</v>
      </c>
      <c r="H18">
        <v>1</v>
      </c>
      <c r="I18" t="str">
        <f>_xlfn.XLOOKUP(tbl_Students[[#This Row],[school_id]],tbl_Schools[school_id],tbl_Schools[school_name],"Unknown")</f>
        <v>Gabriel Pereira</v>
      </c>
      <c r="J18" t="str">
        <f t="shared" si="0"/>
        <v>15-16</v>
      </c>
    </row>
    <row r="19" spans="1:10" x14ac:dyDescent="0.35">
      <c r="A19">
        <v>18</v>
      </c>
      <c r="B19" t="s">
        <v>20</v>
      </c>
      <c r="C19">
        <v>16</v>
      </c>
      <c r="D19" t="s">
        <v>21</v>
      </c>
      <c r="E19" t="s">
        <v>22</v>
      </c>
      <c r="F19" t="s">
        <v>24</v>
      </c>
      <c r="G19" t="s">
        <v>112</v>
      </c>
      <c r="H19">
        <v>1</v>
      </c>
      <c r="I19" t="str">
        <f>_xlfn.XLOOKUP(tbl_Students[[#This Row],[school_id]],tbl_Schools[school_id],tbl_Schools[school_name],"Unknown")</f>
        <v>Gabriel Pereira</v>
      </c>
      <c r="J19" t="str">
        <f t="shared" si="0"/>
        <v>15-16</v>
      </c>
    </row>
    <row r="20" spans="1:10" x14ac:dyDescent="0.35">
      <c r="A20">
        <v>19</v>
      </c>
      <c r="B20" t="s">
        <v>26</v>
      </c>
      <c r="C20">
        <v>17</v>
      </c>
      <c r="D20" t="s">
        <v>21</v>
      </c>
      <c r="E20" t="s">
        <v>22</v>
      </c>
      <c r="F20" t="s">
        <v>24</v>
      </c>
      <c r="G20" t="s">
        <v>112</v>
      </c>
      <c r="H20">
        <v>1</v>
      </c>
      <c r="I20" t="str">
        <f>_xlfn.XLOOKUP(tbl_Students[[#This Row],[school_id]],tbl_Schools[school_id],tbl_Schools[school_name],"Unknown")</f>
        <v>Gabriel Pereira</v>
      </c>
      <c r="J20" t="str">
        <f t="shared" si="0"/>
        <v>17-18</v>
      </c>
    </row>
    <row r="21" spans="1:10" x14ac:dyDescent="0.35">
      <c r="A21">
        <v>20</v>
      </c>
      <c r="B21" t="s">
        <v>26</v>
      </c>
      <c r="C21">
        <v>16</v>
      </c>
      <c r="D21" t="s">
        <v>21</v>
      </c>
      <c r="E21" t="s">
        <v>25</v>
      </c>
      <c r="F21" t="s">
        <v>24</v>
      </c>
      <c r="G21" t="s">
        <v>113</v>
      </c>
      <c r="H21">
        <v>1</v>
      </c>
      <c r="I21" t="str">
        <f>_xlfn.XLOOKUP(tbl_Students[[#This Row],[school_id]],tbl_Schools[school_id],tbl_Schools[school_name],"Unknown")</f>
        <v>Gabriel Pereira</v>
      </c>
      <c r="J21" t="str">
        <f t="shared" si="0"/>
        <v>15-16</v>
      </c>
    </row>
    <row r="22" spans="1:10" x14ac:dyDescent="0.35">
      <c r="A22">
        <v>21</v>
      </c>
      <c r="B22" t="s">
        <v>26</v>
      </c>
      <c r="C22">
        <v>15</v>
      </c>
      <c r="D22" t="s">
        <v>21</v>
      </c>
      <c r="E22" t="s">
        <v>22</v>
      </c>
      <c r="F22" t="s">
        <v>24</v>
      </c>
      <c r="G22" t="s">
        <v>112</v>
      </c>
      <c r="H22">
        <v>1</v>
      </c>
      <c r="I22" t="str">
        <f>_xlfn.XLOOKUP(tbl_Students[[#This Row],[school_id]],tbl_Schools[school_id],tbl_Schools[school_name],"Unknown")</f>
        <v>Gabriel Pereira</v>
      </c>
      <c r="J22" t="str">
        <f t="shared" si="0"/>
        <v>15-16</v>
      </c>
    </row>
    <row r="23" spans="1:10" x14ac:dyDescent="0.35">
      <c r="A23">
        <v>22</v>
      </c>
      <c r="B23" t="s">
        <v>26</v>
      </c>
      <c r="C23">
        <v>15</v>
      </c>
      <c r="D23" t="s">
        <v>21</v>
      </c>
      <c r="E23" t="s">
        <v>22</v>
      </c>
      <c r="F23" t="s">
        <v>24</v>
      </c>
      <c r="G23" t="s">
        <v>113</v>
      </c>
      <c r="H23">
        <v>1</v>
      </c>
      <c r="I23" t="str">
        <f>_xlfn.XLOOKUP(tbl_Students[[#This Row],[school_id]],tbl_Schools[school_id],tbl_Schools[school_name],"Unknown")</f>
        <v>Gabriel Pereira</v>
      </c>
      <c r="J23" t="str">
        <f t="shared" si="0"/>
        <v>15-16</v>
      </c>
    </row>
    <row r="24" spans="1:10" x14ac:dyDescent="0.35">
      <c r="A24">
        <v>23</v>
      </c>
      <c r="B24" t="s">
        <v>26</v>
      </c>
      <c r="C24">
        <v>16</v>
      </c>
      <c r="D24" t="s">
        <v>21</v>
      </c>
      <c r="E24" t="s">
        <v>25</v>
      </c>
      <c r="F24" t="s">
        <v>24</v>
      </c>
      <c r="G24" t="s">
        <v>112</v>
      </c>
      <c r="H24">
        <v>1</v>
      </c>
      <c r="I24" t="str">
        <f>_xlfn.XLOOKUP(tbl_Students[[#This Row],[school_id]],tbl_Schools[school_id],tbl_Schools[school_name],"Unknown")</f>
        <v>Gabriel Pereira</v>
      </c>
      <c r="J24" t="str">
        <f t="shared" si="0"/>
        <v>15-16</v>
      </c>
    </row>
    <row r="25" spans="1:10" x14ac:dyDescent="0.35">
      <c r="A25">
        <v>24</v>
      </c>
      <c r="B25" t="s">
        <v>26</v>
      </c>
      <c r="C25">
        <v>16</v>
      </c>
      <c r="D25" t="s">
        <v>21</v>
      </c>
      <c r="E25" t="s">
        <v>25</v>
      </c>
      <c r="F25" t="s">
        <v>24</v>
      </c>
      <c r="G25" t="s">
        <v>112</v>
      </c>
      <c r="H25">
        <v>1</v>
      </c>
      <c r="I25" t="str">
        <f>_xlfn.XLOOKUP(tbl_Students[[#This Row],[school_id]],tbl_Schools[school_id],tbl_Schools[school_name],"Unknown")</f>
        <v>Gabriel Pereira</v>
      </c>
      <c r="J25" t="str">
        <f t="shared" si="0"/>
        <v>15-16</v>
      </c>
    </row>
    <row r="26" spans="1:10" x14ac:dyDescent="0.35">
      <c r="A26">
        <v>25</v>
      </c>
      <c r="B26" t="s">
        <v>20</v>
      </c>
      <c r="C26">
        <v>15</v>
      </c>
      <c r="D26" t="s">
        <v>28</v>
      </c>
      <c r="E26" t="s">
        <v>22</v>
      </c>
      <c r="F26" t="s">
        <v>24</v>
      </c>
      <c r="G26" t="s">
        <v>112</v>
      </c>
      <c r="H26">
        <v>1</v>
      </c>
      <c r="I26" t="str">
        <f>_xlfn.XLOOKUP(tbl_Students[[#This Row],[school_id]],tbl_Schools[school_id],tbl_Schools[school_name],"Unknown")</f>
        <v>Gabriel Pereira</v>
      </c>
      <c r="J26" t="str">
        <f t="shared" si="0"/>
        <v>15-16</v>
      </c>
    </row>
    <row r="27" spans="1:10" x14ac:dyDescent="0.35">
      <c r="A27">
        <v>26</v>
      </c>
      <c r="B27" t="s">
        <v>20</v>
      </c>
      <c r="C27">
        <v>16</v>
      </c>
      <c r="D27" t="s">
        <v>21</v>
      </c>
      <c r="E27" t="s">
        <v>22</v>
      </c>
      <c r="F27" t="s">
        <v>24</v>
      </c>
      <c r="G27" t="s">
        <v>112</v>
      </c>
      <c r="H27">
        <v>1</v>
      </c>
      <c r="I27" t="str">
        <f>_xlfn.XLOOKUP(tbl_Students[[#This Row],[school_id]],tbl_Schools[school_id],tbl_Schools[school_name],"Unknown")</f>
        <v>Gabriel Pereira</v>
      </c>
      <c r="J27" t="str">
        <f t="shared" si="0"/>
        <v>15-16</v>
      </c>
    </row>
    <row r="28" spans="1:10" x14ac:dyDescent="0.35">
      <c r="A28">
        <v>27</v>
      </c>
      <c r="B28" t="s">
        <v>26</v>
      </c>
      <c r="C28">
        <v>15</v>
      </c>
      <c r="D28" t="s">
        <v>21</v>
      </c>
      <c r="E28" t="s">
        <v>22</v>
      </c>
      <c r="F28" t="s">
        <v>24</v>
      </c>
      <c r="G28" t="s">
        <v>112</v>
      </c>
      <c r="H28">
        <v>1</v>
      </c>
      <c r="I28" t="str">
        <f>_xlfn.XLOOKUP(tbl_Students[[#This Row],[school_id]],tbl_Schools[school_id],tbl_Schools[school_name],"Unknown")</f>
        <v>Gabriel Pereira</v>
      </c>
      <c r="J28" t="str">
        <f t="shared" si="0"/>
        <v>15-16</v>
      </c>
    </row>
    <row r="29" spans="1:10" x14ac:dyDescent="0.35">
      <c r="A29">
        <v>28</v>
      </c>
      <c r="B29" t="s">
        <v>26</v>
      </c>
      <c r="C29">
        <v>15</v>
      </c>
      <c r="D29" t="s">
        <v>21</v>
      </c>
      <c r="E29" t="s">
        <v>22</v>
      </c>
      <c r="F29" t="s">
        <v>24</v>
      </c>
      <c r="G29" t="s">
        <v>112</v>
      </c>
      <c r="H29">
        <v>1</v>
      </c>
      <c r="I29" t="str">
        <f>_xlfn.XLOOKUP(tbl_Students[[#This Row],[school_id]],tbl_Schools[school_id],tbl_Schools[school_name],"Unknown")</f>
        <v>Gabriel Pereira</v>
      </c>
      <c r="J29" t="str">
        <f t="shared" si="0"/>
        <v>15-16</v>
      </c>
    </row>
    <row r="30" spans="1:10" x14ac:dyDescent="0.35">
      <c r="A30">
        <v>29</v>
      </c>
      <c r="B30" t="s">
        <v>26</v>
      </c>
      <c r="C30">
        <v>16</v>
      </c>
      <c r="D30" t="s">
        <v>21</v>
      </c>
      <c r="E30" t="s">
        <v>25</v>
      </c>
      <c r="F30" t="s">
        <v>23</v>
      </c>
      <c r="G30" t="s">
        <v>112</v>
      </c>
      <c r="H30">
        <v>1</v>
      </c>
      <c r="I30" t="str">
        <f>_xlfn.XLOOKUP(tbl_Students[[#This Row],[school_id]],tbl_Schools[school_id],tbl_Schools[school_name],"Unknown")</f>
        <v>Gabriel Pereira</v>
      </c>
      <c r="J30" t="str">
        <f t="shared" si="0"/>
        <v>15-16</v>
      </c>
    </row>
    <row r="31" spans="1:10" x14ac:dyDescent="0.35">
      <c r="A31">
        <v>30</v>
      </c>
      <c r="B31" t="s">
        <v>26</v>
      </c>
      <c r="C31">
        <v>16</v>
      </c>
      <c r="D31" t="s">
        <v>21</v>
      </c>
      <c r="E31" t="s">
        <v>22</v>
      </c>
      <c r="F31" t="s">
        <v>24</v>
      </c>
      <c r="G31" t="s">
        <v>112</v>
      </c>
      <c r="H31">
        <v>1</v>
      </c>
      <c r="I31" t="str">
        <f>_xlfn.XLOOKUP(tbl_Students[[#This Row],[school_id]],tbl_Schools[school_id],tbl_Schools[school_name],"Unknown")</f>
        <v>Gabriel Pereira</v>
      </c>
      <c r="J31" t="str">
        <f t="shared" si="0"/>
        <v>15-16</v>
      </c>
    </row>
    <row r="32" spans="1:10" x14ac:dyDescent="0.35">
      <c r="A32">
        <v>31</v>
      </c>
      <c r="B32" t="s">
        <v>26</v>
      </c>
      <c r="C32">
        <v>15</v>
      </c>
      <c r="D32" t="s">
        <v>21</v>
      </c>
      <c r="E32" t="s">
        <v>22</v>
      </c>
      <c r="F32" t="s">
        <v>24</v>
      </c>
      <c r="G32" t="s">
        <v>112</v>
      </c>
      <c r="H32">
        <v>1</v>
      </c>
      <c r="I32" t="str">
        <f>_xlfn.XLOOKUP(tbl_Students[[#This Row],[school_id]],tbl_Schools[school_id],tbl_Schools[school_name],"Unknown")</f>
        <v>Gabriel Pereira</v>
      </c>
      <c r="J32" t="str">
        <f t="shared" si="0"/>
        <v>15-16</v>
      </c>
    </row>
    <row r="33" spans="1:10" x14ac:dyDescent="0.35">
      <c r="A33">
        <v>32</v>
      </c>
      <c r="B33" t="s">
        <v>26</v>
      </c>
      <c r="C33">
        <v>15</v>
      </c>
      <c r="D33" t="s">
        <v>21</v>
      </c>
      <c r="E33" t="s">
        <v>22</v>
      </c>
      <c r="F33" t="s">
        <v>24</v>
      </c>
      <c r="G33" t="s">
        <v>112</v>
      </c>
      <c r="H33">
        <v>1</v>
      </c>
      <c r="I33" t="str">
        <f>_xlfn.XLOOKUP(tbl_Students[[#This Row],[school_id]],tbl_Schools[school_id],tbl_Schools[school_name],"Unknown")</f>
        <v>Gabriel Pereira</v>
      </c>
      <c r="J33" t="str">
        <f t="shared" si="0"/>
        <v>15-16</v>
      </c>
    </row>
    <row r="34" spans="1:10" x14ac:dyDescent="0.35">
      <c r="A34">
        <v>33</v>
      </c>
      <c r="B34" t="s">
        <v>26</v>
      </c>
      <c r="C34">
        <v>15</v>
      </c>
      <c r="D34" t="s">
        <v>28</v>
      </c>
      <c r="E34" t="s">
        <v>22</v>
      </c>
      <c r="F34" t="s">
        <v>24</v>
      </c>
      <c r="G34" t="s">
        <v>112</v>
      </c>
      <c r="H34">
        <v>1</v>
      </c>
      <c r="I34" t="str">
        <f>_xlfn.XLOOKUP(tbl_Students[[#This Row],[school_id]],tbl_Schools[school_id],tbl_Schools[school_name],"Unknown")</f>
        <v>Gabriel Pereira</v>
      </c>
      <c r="J34" t="str">
        <f t="shared" si="0"/>
        <v>15-16</v>
      </c>
    </row>
    <row r="35" spans="1:10" x14ac:dyDescent="0.35">
      <c r="A35">
        <v>34</v>
      </c>
      <c r="B35" t="s">
        <v>26</v>
      </c>
      <c r="C35">
        <v>15</v>
      </c>
      <c r="D35" t="s">
        <v>21</v>
      </c>
      <c r="E35" t="s">
        <v>25</v>
      </c>
      <c r="F35" t="s">
        <v>24</v>
      </c>
      <c r="G35" t="s">
        <v>112</v>
      </c>
      <c r="H35">
        <v>1</v>
      </c>
      <c r="I35" t="str">
        <f>_xlfn.XLOOKUP(tbl_Students[[#This Row],[school_id]],tbl_Schools[school_id],tbl_Schools[school_name],"Unknown")</f>
        <v>Gabriel Pereira</v>
      </c>
      <c r="J35" t="str">
        <f t="shared" si="0"/>
        <v>15-16</v>
      </c>
    </row>
    <row r="36" spans="1:10" x14ac:dyDescent="0.35">
      <c r="A36">
        <v>35</v>
      </c>
      <c r="B36" t="s">
        <v>26</v>
      </c>
      <c r="C36">
        <v>16</v>
      </c>
      <c r="D36" t="s">
        <v>21</v>
      </c>
      <c r="E36" t="s">
        <v>22</v>
      </c>
      <c r="F36" t="s">
        <v>24</v>
      </c>
      <c r="G36" t="s">
        <v>112</v>
      </c>
      <c r="H36">
        <v>1</v>
      </c>
      <c r="I36" t="str">
        <f>_xlfn.XLOOKUP(tbl_Students[[#This Row],[school_id]],tbl_Schools[school_id],tbl_Schools[school_name],"Unknown")</f>
        <v>Gabriel Pereira</v>
      </c>
      <c r="J36" t="str">
        <f t="shared" si="0"/>
        <v>15-16</v>
      </c>
    </row>
    <row r="37" spans="1:10" x14ac:dyDescent="0.35">
      <c r="A37">
        <v>36</v>
      </c>
      <c r="B37" t="s">
        <v>20</v>
      </c>
      <c r="C37">
        <v>15</v>
      </c>
      <c r="D37" t="s">
        <v>21</v>
      </c>
      <c r="E37" t="s">
        <v>22</v>
      </c>
      <c r="F37" t="s">
        <v>24</v>
      </c>
      <c r="G37" t="s">
        <v>113</v>
      </c>
      <c r="H37">
        <v>1</v>
      </c>
      <c r="I37" t="str">
        <f>_xlfn.XLOOKUP(tbl_Students[[#This Row],[school_id]],tbl_Schools[school_id],tbl_Schools[school_name],"Unknown")</f>
        <v>Gabriel Pereira</v>
      </c>
      <c r="J37" t="str">
        <f t="shared" si="0"/>
        <v>15-16</v>
      </c>
    </row>
    <row r="38" spans="1:10" x14ac:dyDescent="0.35">
      <c r="A38">
        <v>37</v>
      </c>
      <c r="B38" t="s">
        <v>26</v>
      </c>
      <c r="C38">
        <v>15</v>
      </c>
      <c r="D38" t="s">
        <v>21</v>
      </c>
      <c r="E38" t="s">
        <v>25</v>
      </c>
      <c r="F38" t="s">
        <v>24</v>
      </c>
      <c r="G38" t="s">
        <v>112</v>
      </c>
      <c r="H38">
        <v>1</v>
      </c>
      <c r="I38" t="str">
        <f>_xlfn.XLOOKUP(tbl_Students[[#This Row],[school_id]],tbl_Schools[school_id],tbl_Schools[school_name],"Unknown")</f>
        <v>Gabriel Pereira</v>
      </c>
      <c r="J38" t="str">
        <f t="shared" si="0"/>
        <v>15-16</v>
      </c>
    </row>
    <row r="39" spans="1:10" x14ac:dyDescent="0.35">
      <c r="A39">
        <v>38</v>
      </c>
      <c r="B39" t="s">
        <v>26</v>
      </c>
      <c r="C39">
        <v>16</v>
      </c>
      <c r="D39" t="s">
        <v>28</v>
      </c>
      <c r="E39" t="s">
        <v>22</v>
      </c>
      <c r="F39" t="s">
        <v>23</v>
      </c>
      <c r="G39" t="s">
        <v>112</v>
      </c>
      <c r="H39">
        <v>1</v>
      </c>
      <c r="I39" t="str">
        <f>_xlfn.XLOOKUP(tbl_Students[[#This Row],[school_id]],tbl_Schools[school_id],tbl_Schools[school_name],"Unknown")</f>
        <v>Gabriel Pereira</v>
      </c>
      <c r="J39" t="str">
        <f t="shared" si="0"/>
        <v>15-16</v>
      </c>
    </row>
    <row r="40" spans="1:10" x14ac:dyDescent="0.35">
      <c r="A40">
        <v>39</v>
      </c>
      <c r="B40" t="s">
        <v>20</v>
      </c>
      <c r="C40">
        <v>15</v>
      </c>
      <c r="D40" t="s">
        <v>28</v>
      </c>
      <c r="E40" t="s">
        <v>22</v>
      </c>
      <c r="F40" t="s">
        <v>24</v>
      </c>
      <c r="G40" t="s">
        <v>112</v>
      </c>
      <c r="H40">
        <v>1</v>
      </c>
      <c r="I40" t="str">
        <f>_xlfn.XLOOKUP(tbl_Students[[#This Row],[school_id]],tbl_Schools[school_id],tbl_Schools[school_name],"Unknown")</f>
        <v>Gabriel Pereira</v>
      </c>
      <c r="J40" t="str">
        <f t="shared" si="0"/>
        <v>15-16</v>
      </c>
    </row>
    <row r="41" spans="1:10" x14ac:dyDescent="0.35">
      <c r="A41">
        <v>40</v>
      </c>
      <c r="B41" t="s">
        <v>20</v>
      </c>
      <c r="C41">
        <v>15</v>
      </c>
      <c r="D41" t="s">
        <v>28</v>
      </c>
      <c r="E41" t="s">
        <v>22</v>
      </c>
      <c r="F41" t="s">
        <v>24</v>
      </c>
      <c r="G41" t="s">
        <v>112</v>
      </c>
      <c r="H41">
        <v>1</v>
      </c>
      <c r="I41" t="str">
        <f>_xlfn.XLOOKUP(tbl_Students[[#This Row],[school_id]],tbl_Schools[school_id],tbl_Schools[school_name],"Unknown")</f>
        <v>Gabriel Pereira</v>
      </c>
      <c r="J41" t="str">
        <f t="shared" si="0"/>
        <v>15-16</v>
      </c>
    </row>
    <row r="42" spans="1:10" x14ac:dyDescent="0.35">
      <c r="A42">
        <v>41</v>
      </c>
      <c r="B42" t="s">
        <v>20</v>
      </c>
      <c r="C42">
        <v>16</v>
      </c>
      <c r="D42" t="s">
        <v>21</v>
      </c>
      <c r="E42" t="s">
        <v>25</v>
      </c>
      <c r="F42" t="s">
        <v>24</v>
      </c>
      <c r="G42" t="s">
        <v>112</v>
      </c>
      <c r="H42">
        <v>1</v>
      </c>
      <c r="I42" t="str">
        <f>_xlfn.XLOOKUP(tbl_Students[[#This Row],[school_id]],tbl_Schools[school_id],tbl_Schools[school_name],"Unknown")</f>
        <v>Gabriel Pereira</v>
      </c>
      <c r="J42" t="str">
        <f t="shared" si="0"/>
        <v>15-16</v>
      </c>
    </row>
    <row r="43" spans="1:10" x14ac:dyDescent="0.35">
      <c r="A43">
        <v>42</v>
      </c>
      <c r="B43" t="s">
        <v>26</v>
      </c>
      <c r="C43">
        <v>15</v>
      </c>
      <c r="D43" t="s">
        <v>21</v>
      </c>
      <c r="E43" t="s">
        <v>25</v>
      </c>
      <c r="F43" t="s">
        <v>24</v>
      </c>
      <c r="G43" t="s">
        <v>27</v>
      </c>
      <c r="H43">
        <v>1</v>
      </c>
      <c r="I43" t="str">
        <f>_xlfn.XLOOKUP(tbl_Students[[#This Row],[school_id]],tbl_Schools[school_id],tbl_Schools[school_name],"Unknown")</f>
        <v>Gabriel Pereira</v>
      </c>
      <c r="J43" t="str">
        <f t="shared" si="0"/>
        <v>15-16</v>
      </c>
    </row>
    <row r="44" spans="1:10" x14ac:dyDescent="0.35">
      <c r="A44">
        <v>43</v>
      </c>
      <c r="B44" t="s">
        <v>26</v>
      </c>
      <c r="C44">
        <v>15</v>
      </c>
      <c r="D44" t="s">
        <v>21</v>
      </c>
      <c r="E44" t="s">
        <v>22</v>
      </c>
      <c r="F44" t="s">
        <v>24</v>
      </c>
      <c r="G44" t="s">
        <v>113</v>
      </c>
      <c r="H44">
        <v>1</v>
      </c>
      <c r="I44" t="str">
        <f>_xlfn.XLOOKUP(tbl_Students[[#This Row],[school_id]],tbl_Schools[school_id],tbl_Schools[school_name],"Unknown")</f>
        <v>Gabriel Pereira</v>
      </c>
      <c r="J44" t="str">
        <f t="shared" si="0"/>
        <v>15-16</v>
      </c>
    </row>
    <row r="45" spans="1:10" x14ac:dyDescent="0.35">
      <c r="A45">
        <v>44</v>
      </c>
      <c r="B45" t="s">
        <v>26</v>
      </c>
      <c r="C45">
        <v>15</v>
      </c>
      <c r="D45" t="s">
        <v>21</v>
      </c>
      <c r="E45" t="s">
        <v>22</v>
      </c>
      <c r="F45" t="s">
        <v>24</v>
      </c>
      <c r="G45" t="s">
        <v>113</v>
      </c>
      <c r="H45">
        <v>1</v>
      </c>
      <c r="I45" t="str">
        <f>_xlfn.XLOOKUP(tbl_Students[[#This Row],[school_id]],tbl_Schools[school_id],tbl_Schools[school_name],"Unknown")</f>
        <v>Gabriel Pereira</v>
      </c>
      <c r="J45" t="str">
        <f t="shared" si="0"/>
        <v>15-16</v>
      </c>
    </row>
    <row r="46" spans="1:10" x14ac:dyDescent="0.35">
      <c r="A46">
        <v>45</v>
      </c>
      <c r="B46" t="s">
        <v>20</v>
      </c>
      <c r="C46">
        <v>16</v>
      </c>
      <c r="D46" t="s">
        <v>21</v>
      </c>
      <c r="E46" t="s">
        <v>25</v>
      </c>
      <c r="F46" t="s">
        <v>24</v>
      </c>
      <c r="G46" t="s">
        <v>113</v>
      </c>
      <c r="H46">
        <v>1</v>
      </c>
      <c r="I46" t="str">
        <f>_xlfn.XLOOKUP(tbl_Students[[#This Row],[school_id]],tbl_Schools[school_id],tbl_Schools[school_name],"Unknown")</f>
        <v>Gabriel Pereira</v>
      </c>
      <c r="J46" t="str">
        <f t="shared" si="0"/>
        <v>15-16</v>
      </c>
    </row>
    <row r="47" spans="1:10" x14ac:dyDescent="0.35">
      <c r="A47">
        <v>46</v>
      </c>
      <c r="B47" t="s">
        <v>20</v>
      </c>
      <c r="C47">
        <v>15</v>
      </c>
      <c r="D47" t="s">
        <v>21</v>
      </c>
      <c r="E47" t="s">
        <v>25</v>
      </c>
      <c r="F47" t="s">
        <v>23</v>
      </c>
      <c r="G47" t="s">
        <v>112</v>
      </c>
      <c r="H47">
        <v>1</v>
      </c>
      <c r="I47" t="str">
        <f>_xlfn.XLOOKUP(tbl_Students[[#This Row],[school_id]],tbl_Schools[school_id],tbl_Schools[school_name],"Unknown")</f>
        <v>Gabriel Pereira</v>
      </c>
      <c r="J47" t="str">
        <f t="shared" si="0"/>
        <v>15-16</v>
      </c>
    </row>
    <row r="48" spans="1:10" x14ac:dyDescent="0.35">
      <c r="A48">
        <v>47</v>
      </c>
      <c r="B48" t="s">
        <v>20</v>
      </c>
      <c r="C48">
        <v>16</v>
      </c>
      <c r="D48" t="s">
        <v>21</v>
      </c>
      <c r="E48" t="s">
        <v>25</v>
      </c>
      <c r="F48" t="s">
        <v>23</v>
      </c>
      <c r="G48" t="s">
        <v>112</v>
      </c>
      <c r="H48">
        <v>1</v>
      </c>
      <c r="I48" t="str">
        <f>_xlfn.XLOOKUP(tbl_Students[[#This Row],[school_id]],tbl_Schools[school_id],tbl_Schools[school_name],"Unknown")</f>
        <v>Gabriel Pereira</v>
      </c>
      <c r="J48" t="str">
        <f t="shared" si="0"/>
        <v>15-16</v>
      </c>
    </row>
    <row r="49" spans="1:10" x14ac:dyDescent="0.35">
      <c r="A49">
        <v>48</v>
      </c>
      <c r="B49" t="s">
        <v>26</v>
      </c>
      <c r="C49">
        <v>16</v>
      </c>
      <c r="D49" t="s">
        <v>21</v>
      </c>
      <c r="E49" t="s">
        <v>22</v>
      </c>
      <c r="F49" t="s">
        <v>24</v>
      </c>
      <c r="G49" t="s">
        <v>112</v>
      </c>
      <c r="H49">
        <v>1</v>
      </c>
      <c r="I49" t="str">
        <f>_xlfn.XLOOKUP(tbl_Students[[#This Row],[school_id]],tbl_Schools[school_id],tbl_Schools[school_name],"Unknown")</f>
        <v>Gabriel Pereira</v>
      </c>
      <c r="J49" t="str">
        <f t="shared" si="0"/>
        <v>15-16</v>
      </c>
    </row>
    <row r="50" spans="1:10" x14ac:dyDescent="0.35">
      <c r="A50">
        <v>49</v>
      </c>
      <c r="B50" t="s">
        <v>26</v>
      </c>
      <c r="C50">
        <v>15</v>
      </c>
      <c r="D50" t="s">
        <v>21</v>
      </c>
      <c r="E50" t="s">
        <v>22</v>
      </c>
      <c r="F50" t="s">
        <v>24</v>
      </c>
      <c r="G50" t="s">
        <v>112</v>
      </c>
      <c r="H50">
        <v>1</v>
      </c>
      <c r="I50" t="str">
        <f>_xlfn.XLOOKUP(tbl_Students[[#This Row],[school_id]],tbl_Schools[school_id],tbl_Schools[school_name],"Unknown")</f>
        <v>Gabriel Pereira</v>
      </c>
      <c r="J50" t="str">
        <f t="shared" si="0"/>
        <v>15-16</v>
      </c>
    </row>
    <row r="51" spans="1:10" x14ac:dyDescent="0.35">
      <c r="A51">
        <v>50</v>
      </c>
      <c r="B51" t="s">
        <v>20</v>
      </c>
      <c r="C51">
        <v>15</v>
      </c>
      <c r="D51" t="s">
        <v>21</v>
      </c>
      <c r="E51" t="s">
        <v>22</v>
      </c>
      <c r="F51" t="s">
        <v>24</v>
      </c>
      <c r="G51" t="s">
        <v>113</v>
      </c>
      <c r="H51">
        <v>1</v>
      </c>
      <c r="I51" t="str">
        <f>_xlfn.XLOOKUP(tbl_Students[[#This Row],[school_id]],tbl_Schools[school_id],tbl_Schools[school_name],"Unknown")</f>
        <v>Gabriel Pereira</v>
      </c>
      <c r="J51" t="str">
        <f t="shared" si="0"/>
        <v>15-16</v>
      </c>
    </row>
    <row r="52" spans="1:10" x14ac:dyDescent="0.35">
      <c r="A52">
        <v>51</v>
      </c>
      <c r="B52" t="s">
        <v>20</v>
      </c>
      <c r="C52">
        <v>16</v>
      </c>
      <c r="D52" t="s">
        <v>21</v>
      </c>
      <c r="E52" t="s">
        <v>25</v>
      </c>
      <c r="F52" t="s">
        <v>24</v>
      </c>
      <c r="G52" t="s">
        <v>112</v>
      </c>
      <c r="H52">
        <v>1</v>
      </c>
      <c r="I52" t="str">
        <f>_xlfn.XLOOKUP(tbl_Students[[#This Row],[school_id]],tbl_Schools[school_id],tbl_Schools[school_name],"Unknown")</f>
        <v>Gabriel Pereira</v>
      </c>
      <c r="J52" t="str">
        <f t="shared" si="0"/>
        <v>15-16</v>
      </c>
    </row>
    <row r="53" spans="1:10" x14ac:dyDescent="0.35">
      <c r="A53">
        <v>52</v>
      </c>
      <c r="B53" t="s">
        <v>20</v>
      </c>
      <c r="C53">
        <v>15</v>
      </c>
      <c r="D53" t="s">
        <v>21</v>
      </c>
      <c r="E53" t="s">
        <v>25</v>
      </c>
      <c r="F53" t="s">
        <v>24</v>
      </c>
      <c r="G53" t="s">
        <v>112</v>
      </c>
      <c r="H53">
        <v>1</v>
      </c>
      <c r="I53" t="str">
        <f>_xlfn.XLOOKUP(tbl_Students[[#This Row],[school_id]],tbl_Schools[school_id],tbl_Schools[school_name],"Unknown")</f>
        <v>Gabriel Pereira</v>
      </c>
      <c r="J53" t="str">
        <f t="shared" si="0"/>
        <v>15-16</v>
      </c>
    </row>
    <row r="54" spans="1:10" x14ac:dyDescent="0.35">
      <c r="A54">
        <v>53</v>
      </c>
      <c r="B54" t="s">
        <v>26</v>
      </c>
      <c r="C54">
        <v>15</v>
      </c>
      <c r="D54" t="s">
        <v>21</v>
      </c>
      <c r="E54" t="s">
        <v>25</v>
      </c>
      <c r="F54" t="s">
        <v>23</v>
      </c>
      <c r="G54" t="s">
        <v>113</v>
      </c>
      <c r="H54">
        <v>1</v>
      </c>
      <c r="I54" t="str">
        <f>_xlfn.XLOOKUP(tbl_Students[[#This Row],[school_id]],tbl_Schools[school_id],tbl_Schools[school_name],"Unknown")</f>
        <v>Gabriel Pereira</v>
      </c>
      <c r="J54" t="str">
        <f t="shared" si="0"/>
        <v>15-16</v>
      </c>
    </row>
    <row r="55" spans="1:10" x14ac:dyDescent="0.35">
      <c r="A55">
        <v>54</v>
      </c>
      <c r="B55" t="s">
        <v>20</v>
      </c>
      <c r="C55">
        <v>15</v>
      </c>
      <c r="D55" t="s">
        <v>21</v>
      </c>
      <c r="E55" t="s">
        <v>22</v>
      </c>
      <c r="F55" t="s">
        <v>24</v>
      </c>
      <c r="G55" t="s">
        <v>112</v>
      </c>
      <c r="H55">
        <v>1</v>
      </c>
      <c r="I55" t="str">
        <f>_xlfn.XLOOKUP(tbl_Students[[#This Row],[school_id]],tbl_Schools[school_id],tbl_Schools[school_name],"Unknown")</f>
        <v>Gabriel Pereira</v>
      </c>
      <c r="J55" t="str">
        <f t="shared" si="0"/>
        <v>15-16</v>
      </c>
    </row>
    <row r="56" spans="1:10" x14ac:dyDescent="0.35">
      <c r="A56">
        <v>55</v>
      </c>
      <c r="B56" t="s">
        <v>20</v>
      </c>
      <c r="C56">
        <v>15</v>
      </c>
      <c r="D56" t="s">
        <v>21</v>
      </c>
      <c r="E56" t="s">
        <v>25</v>
      </c>
      <c r="F56" t="s">
        <v>23</v>
      </c>
      <c r="G56" t="s">
        <v>112</v>
      </c>
      <c r="H56">
        <v>1</v>
      </c>
      <c r="I56" t="str">
        <f>_xlfn.XLOOKUP(tbl_Students[[#This Row],[school_id]],tbl_Schools[school_id],tbl_Schools[school_name],"Unknown")</f>
        <v>Gabriel Pereira</v>
      </c>
      <c r="J56" t="str">
        <f t="shared" si="0"/>
        <v>15-16</v>
      </c>
    </row>
    <row r="57" spans="1:10" x14ac:dyDescent="0.35">
      <c r="A57">
        <v>56</v>
      </c>
      <c r="B57" t="s">
        <v>20</v>
      </c>
      <c r="C57">
        <v>16</v>
      </c>
      <c r="D57" t="s">
        <v>21</v>
      </c>
      <c r="E57" t="s">
        <v>22</v>
      </c>
      <c r="F57" t="s">
        <v>23</v>
      </c>
      <c r="G57" t="s">
        <v>112</v>
      </c>
      <c r="H57">
        <v>1</v>
      </c>
      <c r="I57" t="str">
        <f>_xlfn.XLOOKUP(tbl_Students[[#This Row],[school_id]],tbl_Schools[school_id],tbl_Schools[school_name],"Unknown")</f>
        <v>Gabriel Pereira</v>
      </c>
      <c r="J57" t="str">
        <f t="shared" si="0"/>
        <v>15-16</v>
      </c>
    </row>
    <row r="58" spans="1:10" x14ac:dyDescent="0.35">
      <c r="A58">
        <v>57</v>
      </c>
      <c r="B58" t="s">
        <v>20</v>
      </c>
      <c r="C58">
        <v>15</v>
      </c>
      <c r="D58" t="s">
        <v>21</v>
      </c>
      <c r="E58" t="s">
        <v>22</v>
      </c>
      <c r="F58" t="s">
        <v>23</v>
      </c>
      <c r="G58" t="s">
        <v>112</v>
      </c>
      <c r="H58">
        <v>1</v>
      </c>
      <c r="I58" t="str">
        <f>_xlfn.XLOOKUP(tbl_Students[[#This Row],[school_id]],tbl_Schools[school_id],tbl_Schools[school_name],"Unknown")</f>
        <v>Gabriel Pereira</v>
      </c>
      <c r="J58" t="str">
        <f t="shared" si="0"/>
        <v>15-16</v>
      </c>
    </row>
    <row r="59" spans="1:10" x14ac:dyDescent="0.35">
      <c r="A59">
        <v>58</v>
      </c>
      <c r="B59" t="s">
        <v>26</v>
      </c>
      <c r="C59">
        <v>15</v>
      </c>
      <c r="D59" t="s">
        <v>21</v>
      </c>
      <c r="E59" t="s">
        <v>22</v>
      </c>
      <c r="F59" t="s">
        <v>24</v>
      </c>
      <c r="G59" t="s">
        <v>112</v>
      </c>
      <c r="H59">
        <v>1</v>
      </c>
      <c r="I59" t="str">
        <f>_xlfn.XLOOKUP(tbl_Students[[#This Row],[school_id]],tbl_Schools[school_id],tbl_Schools[school_name],"Unknown")</f>
        <v>Gabriel Pereira</v>
      </c>
      <c r="J59" t="str">
        <f t="shared" si="0"/>
        <v>15-16</v>
      </c>
    </row>
    <row r="60" spans="1:10" x14ac:dyDescent="0.35">
      <c r="A60">
        <v>59</v>
      </c>
      <c r="B60" t="s">
        <v>26</v>
      </c>
      <c r="C60">
        <v>15</v>
      </c>
      <c r="D60" t="s">
        <v>21</v>
      </c>
      <c r="E60" t="s">
        <v>25</v>
      </c>
      <c r="F60" t="s">
        <v>24</v>
      </c>
      <c r="G60" t="s">
        <v>113</v>
      </c>
      <c r="H60">
        <v>1</v>
      </c>
      <c r="I60" t="str">
        <f>_xlfn.XLOOKUP(tbl_Students[[#This Row],[school_id]],tbl_Schools[school_id],tbl_Schools[school_name],"Unknown")</f>
        <v>Gabriel Pereira</v>
      </c>
      <c r="J60" t="str">
        <f t="shared" si="0"/>
        <v>15-16</v>
      </c>
    </row>
    <row r="61" spans="1:10" x14ac:dyDescent="0.35">
      <c r="A61">
        <v>60</v>
      </c>
      <c r="B61" t="s">
        <v>20</v>
      </c>
      <c r="C61">
        <v>16</v>
      </c>
      <c r="D61" t="s">
        <v>21</v>
      </c>
      <c r="E61" t="s">
        <v>22</v>
      </c>
      <c r="F61" t="s">
        <v>24</v>
      </c>
      <c r="G61" t="s">
        <v>112</v>
      </c>
      <c r="H61">
        <v>1</v>
      </c>
      <c r="I61" t="str">
        <f>_xlfn.XLOOKUP(tbl_Students[[#This Row],[school_id]],tbl_Schools[school_id],tbl_Schools[school_name],"Unknown")</f>
        <v>Gabriel Pereira</v>
      </c>
      <c r="J61" t="str">
        <f t="shared" si="0"/>
        <v>15-16</v>
      </c>
    </row>
    <row r="62" spans="1:10" x14ac:dyDescent="0.35">
      <c r="A62">
        <v>61</v>
      </c>
      <c r="B62" t="s">
        <v>20</v>
      </c>
      <c r="C62">
        <v>16</v>
      </c>
      <c r="D62" t="s">
        <v>28</v>
      </c>
      <c r="E62" t="s">
        <v>22</v>
      </c>
      <c r="F62" t="s">
        <v>24</v>
      </c>
      <c r="G62" t="s">
        <v>112</v>
      </c>
      <c r="H62">
        <v>1</v>
      </c>
      <c r="I62" t="str">
        <f>_xlfn.XLOOKUP(tbl_Students[[#This Row],[school_id]],tbl_Schools[school_id],tbl_Schools[school_name],"Unknown")</f>
        <v>Gabriel Pereira</v>
      </c>
      <c r="J62" t="str">
        <f t="shared" si="0"/>
        <v>15-16</v>
      </c>
    </row>
    <row r="63" spans="1:10" x14ac:dyDescent="0.35">
      <c r="A63">
        <v>62</v>
      </c>
      <c r="B63" t="s">
        <v>20</v>
      </c>
      <c r="C63">
        <v>16</v>
      </c>
      <c r="D63" t="s">
        <v>21</v>
      </c>
      <c r="E63" t="s">
        <v>22</v>
      </c>
      <c r="F63" t="s">
        <v>24</v>
      </c>
      <c r="G63" t="s">
        <v>113</v>
      </c>
      <c r="H63">
        <v>1</v>
      </c>
      <c r="I63" t="str">
        <f>_xlfn.XLOOKUP(tbl_Students[[#This Row],[school_id]],tbl_Schools[school_id],tbl_Schools[school_name],"Unknown")</f>
        <v>Gabriel Pereira</v>
      </c>
      <c r="J63" t="str">
        <f t="shared" si="0"/>
        <v>15-16</v>
      </c>
    </row>
    <row r="64" spans="1:10" x14ac:dyDescent="0.35">
      <c r="A64">
        <v>63</v>
      </c>
      <c r="B64" t="s">
        <v>20</v>
      </c>
      <c r="C64">
        <v>16</v>
      </c>
      <c r="D64" t="s">
        <v>21</v>
      </c>
      <c r="E64" t="s">
        <v>25</v>
      </c>
      <c r="F64" t="s">
        <v>24</v>
      </c>
      <c r="G64" t="s">
        <v>113</v>
      </c>
      <c r="H64">
        <v>1</v>
      </c>
      <c r="I64" t="str">
        <f>_xlfn.XLOOKUP(tbl_Students[[#This Row],[school_id]],tbl_Schools[school_id],tbl_Schools[school_name],"Unknown")</f>
        <v>Gabriel Pereira</v>
      </c>
      <c r="J64" t="str">
        <f t="shared" si="0"/>
        <v>15-16</v>
      </c>
    </row>
    <row r="65" spans="1:10" x14ac:dyDescent="0.35">
      <c r="A65">
        <v>64</v>
      </c>
      <c r="B65" t="s">
        <v>20</v>
      </c>
      <c r="C65">
        <v>16</v>
      </c>
      <c r="D65" t="s">
        <v>21</v>
      </c>
      <c r="E65" t="s">
        <v>22</v>
      </c>
      <c r="F65" t="s">
        <v>24</v>
      </c>
      <c r="G65" t="s">
        <v>112</v>
      </c>
      <c r="H65">
        <v>1</v>
      </c>
      <c r="I65" t="str">
        <f>_xlfn.XLOOKUP(tbl_Students[[#This Row],[school_id]],tbl_Schools[school_id],tbl_Schools[school_name],"Unknown")</f>
        <v>Gabriel Pereira</v>
      </c>
      <c r="J65" t="str">
        <f t="shared" si="0"/>
        <v>15-16</v>
      </c>
    </row>
    <row r="66" spans="1:10" x14ac:dyDescent="0.35">
      <c r="A66">
        <v>65</v>
      </c>
      <c r="B66" t="s">
        <v>20</v>
      </c>
      <c r="C66">
        <v>15</v>
      </c>
      <c r="D66" t="s">
        <v>21</v>
      </c>
      <c r="E66" t="s">
        <v>25</v>
      </c>
      <c r="F66" t="s">
        <v>24</v>
      </c>
      <c r="G66" t="s">
        <v>113</v>
      </c>
      <c r="H66">
        <v>1</v>
      </c>
      <c r="I66" t="str">
        <f>_xlfn.XLOOKUP(tbl_Students[[#This Row],[school_id]],tbl_Schools[school_id],tbl_Schools[school_name],"Unknown")</f>
        <v>Gabriel Pereira</v>
      </c>
      <c r="J66" t="str">
        <f t="shared" ref="J66:J129" si="1">IF(C66&lt;=16,"15-16",IF(C66&lt;=18,"17-18",IF(C66&lt;=20,"19-20","21-22")))</f>
        <v>15-16</v>
      </c>
    </row>
    <row r="67" spans="1:10" x14ac:dyDescent="0.35">
      <c r="A67">
        <v>66</v>
      </c>
      <c r="B67" t="s">
        <v>20</v>
      </c>
      <c r="C67">
        <v>16</v>
      </c>
      <c r="D67" t="s">
        <v>21</v>
      </c>
      <c r="E67" t="s">
        <v>25</v>
      </c>
      <c r="F67" t="s">
        <v>24</v>
      </c>
      <c r="G67" t="s">
        <v>112</v>
      </c>
      <c r="H67">
        <v>1</v>
      </c>
      <c r="I67" t="str">
        <f>_xlfn.XLOOKUP(tbl_Students[[#This Row],[school_id]],tbl_Schools[school_id],tbl_Schools[school_name],"Unknown")</f>
        <v>Gabriel Pereira</v>
      </c>
      <c r="J67" t="str">
        <f t="shared" si="1"/>
        <v>15-16</v>
      </c>
    </row>
    <row r="68" spans="1:10" x14ac:dyDescent="0.35">
      <c r="A68">
        <v>67</v>
      </c>
      <c r="B68" t="s">
        <v>26</v>
      </c>
      <c r="C68">
        <v>15</v>
      </c>
      <c r="D68" t="s">
        <v>21</v>
      </c>
      <c r="E68" t="s">
        <v>22</v>
      </c>
      <c r="F68" t="s">
        <v>23</v>
      </c>
      <c r="G68" t="s">
        <v>112</v>
      </c>
      <c r="H68">
        <v>1</v>
      </c>
      <c r="I68" t="str">
        <f>_xlfn.XLOOKUP(tbl_Students[[#This Row],[school_id]],tbl_Schools[school_id],tbl_Schools[school_name],"Unknown")</f>
        <v>Gabriel Pereira</v>
      </c>
      <c r="J68" t="str">
        <f t="shared" si="1"/>
        <v>15-16</v>
      </c>
    </row>
    <row r="69" spans="1:10" x14ac:dyDescent="0.35">
      <c r="A69">
        <v>68</v>
      </c>
      <c r="B69" t="s">
        <v>20</v>
      </c>
      <c r="C69">
        <v>16</v>
      </c>
      <c r="D69" t="s">
        <v>21</v>
      </c>
      <c r="E69" t="s">
        <v>22</v>
      </c>
      <c r="F69" t="s">
        <v>24</v>
      </c>
      <c r="G69" t="s">
        <v>112</v>
      </c>
      <c r="H69">
        <v>1</v>
      </c>
      <c r="I69" t="str">
        <f>_xlfn.XLOOKUP(tbl_Students[[#This Row],[school_id]],tbl_Schools[school_id],tbl_Schools[school_name],"Unknown")</f>
        <v>Gabriel Pereira</v>
      </c>
      <c r="J69" t="str">
        <f t="shared" si="1"/>
        <v>15-16</v>
      </c>
    </row>
    <row r="70" spans="1:10" x14ac:dyDescent="0.35">
      <c r="A70">
        <v>69</v>
      </c>
      <c r="B70" t="s">
        <v>20</v>
      </c>
      <c r="C70">
        <v>15</v>
      </c>
      <c r="D70" t="s">
        <v>28</v>
      </c>
      <c r="E70" t="s">
        <v>25</v>
      </c>
      <c r="F70" t="s">
        <v>24</v>
      </c>
      <c r="G70" t="s">
        <v>112</v>
      </c>
      <c r="H70">
        <v>1</v>
      </c>
      <c r="I70" t="str">
        <f>_xlfn.XLOOKUP(tbl_Students[[#This Row],[school_id]],tbl_Schools[school_id],tbl_Schools[school_name],"Unknown")</f>
        <v>Gabriel Pereira</v>
      </c>
      <c r="J70" t="str">
        <f t="shared" si="1"/>
        <v>15-16</v>
      </c>
    </row>
    <row r="71" spans="1:10" x14ac:dyDescent="0.35">
      <c r="A71">
        <v>70</v>
      </c>
      <c r="B71" t="s">
        <v>20</v>
      </c>
      <c r="C71">
        <v>15</v>
      </c>
      <c r="D71" t="s">
        <v>28</v>
      </c>
      <c r="E71" t="s">
        <v>25</v>
      </c>
      <c r="F71" t="s">
        <v>24</v>
      </c>
      <c r="G71" t="s">
        <v>113</v>
      </c>
      <c r="H71">
        <v>1</v>
      </c>
      <c r="I71" t="str">
        <f>_xlfn.XLOOKUP(tbl_Students[[#This Row],[school_id]],tbl_Schools[school_id],tbl_Schools[school_name],"Unknown")</f>
        <v>Gabriel Pereira</v>
      </c>
      <c r="J71" t="str">
        <f t="shared" si="1"/>
        <v>15-16</v>
      </c>
    </row>
    <row r="72" spans="1:10" x14ac:dyDescent="0.35">
      <c r="A72">
        <v>71</v>
      </c>
      <c r="B72" t="s">
        <v>26</v>
      </c>
      <c r="C72">
        <v>16</v>
      </c>
      <c r="D72" t="s">
        <v>21</v>
      </c>
      <c r="E72" t="s">
        <v>22</v>
      </c>
      <c r="F72" t="s">
        <v>24</v>
      </c>
      <c r="G72" t="s">
        <v>113</v>
      </c>
      <c r="H72">
        <v>1</v>
      </c>
      <c r="I72" t="str">
        <f>_xlfn.XLOOKUP(tbl_Students[[#This Row],[school_id]],tbl_Schools[school_id],tbl_Schools[school_name],"Unknown")</f>
        <v>Gabriel Pereira</v>
      </c>
      <c r="J72" t="str">
        <f t="shared" si="1"/>
        <v>15-16</v>
      </c>
    </row>
    <row r="73" spans="1:10" x14ac:dyDescent="0.35">
      <c r="A73">
        <v>72</v>
      </c>
      <c r="B73" t="s">
        <v>26</v>
      </c>
      <c r="C73">
        <v>15</v>
      </c>
      <c r="D73" t="s">
        <v>21</v>
      </c>
      <c r="E73" t="s">
        <v>22</v>
      </c>
      <c r="F73" t="s">
        <v>24</v>
      </c>
      <c r="G73" t="s">
        <v>112</v>
      </c>
      <c r="H73">
        <v>1</v>
      </c>
      <c r="I73" t="str">
        <f>_xlfn.XLOOKUP(tbl_Students[[#This Row],[school_id]],tbl_Schools[school_id],tbl_Schools[school_name],"Unknown")</f>
        <v>Gabriel Pereira</v>
      </c>
      <c r="J73" t="str">
        <f t="shared" si="1"/>
        <v>15-16</v>
      </c>
    </row>
    <row r="74" spans="1:10" x14ac:dyDescent="0.35">
      <c r="A74">
        <v>73</v>
      </c>
      <c r="B74" t="s">
        <v>20</v>
      </c>
      <c r="C74">
        <v>15</v>
      </c>
      <c r="D74" t="s">
        <v>28</v>
      </c>
      <c r="E74" t="s">
        <v>22</v>
      </c>
      <c r="F74" t="s">
        <v>24</v>
      </c>
      <c r="G74" t="s">
        <v>112</v>
      </c>
      <c r="H74">
        <v>1</v>
      </c>
      <c r="I74" t="str">
        <f>_xlfn.XLOOKUP(tbl_Students[[#This Row],[school_id]],tbl_Schools[school_id],tbl_Schools[school_name],"Unknown")</f>
        <v>Gabriel Pereira</v>
      </c>
      <c r="J74" t="str">
        <f t="shared" si="1"/>
        <v>15-16</v>
      </c>
    </row>
    <row r="75" spans="1:10" x14ac:dyDescent="0.35">
      <c r="A75">
        <v>74</v>
      </c>
      <c r="B75" t="s">
        <v>26</v>
      </c>
      <c r="C75">
        <v>17</v>
      </c>
      <c r="D75" t="s">
        <v>21</v>
      </c>
      <c r="E75" t="s">
        <v>22</v>
      </c>
      <c r="F75" t="s">
        <v>24</v>
      </c>
      <c r="G75" t="s">
        <v>112</v>
      </c>
      <c r="H75">
        <v>1</v>
      </c>
      <c r="I75" t="str">
        <f>_xlfn.XLOOKUP(tbl_Students[[#This Row],[school_id]],tbl_Schools[school_id],tbl_Schools[school_name],"Unknown")</f>
        <v>Gabriel Pereira</v>
      </c>
      <c r="J75" t="str">
        <f t="shared" si="1"/>
        <v>17-18</v>
      </c>
    </row>
    <row r="76" spans="1:10" x14ac:dyDescent="0.35">
      <c r="A76">
        <v>75</v>
      </c>
      <c r="B76" t="s">
        <v>20</v>
      </c>
      <c r="C76">
        <v>16</v>
      </c>
      <c r="D76" t="s">
        <v>21</v>
      </c>
      <c r="E76" t="s">
        <v>22</v>
      </c>
      <c r="F76" t="s">
        <v>24</v>
      </c>
      <c r="G76" t="s">
        <v>112</v>
      </c>
      <c r="H76">
        <v>1</v>
      </c>
      <c r="I76" t="str">
        <f>_xlfn.XLOOKUP(tbl_Students[[#This Row],[school_id]],tbl_Schools[school_id],tbl_Schools[school_name],"Unknown")</f>
        <v>Gabriel Pereira</v>
      </c>
      <c r="J76" t="str">
        <f t="shared" si="1"/>
        <v>15-16</v>
      </c>
    </row>
    <row r="77" spans="1:10" x14ac:dyDescent="0.35">
      <c r="A77">
        <v>76</v>
      </c>
      <c r="B77" t="s">
        <v>26</v>
      </c>
      <c r="C77">
        <v>15</v>
      </c>
      <c r="D77" t="s">
        <v>21</v>
      </c>
      <c r="E77" t="s">
        <v>22</v>
      </c>
      <c r="F77" t="s">
        <v>24</v>
      </c>
      <c r="G77" t="s">
        <v>112</v>
      </c>
      <c r="H77">
        <v>1</v>
      </c>
      <c r="I77" t="str">
        <f>_xlfn.XLOOKUP(tbl_Students[[#This Row],[school_id]],tbl_Schools[school_id],tbl_Schools[school_name],"Unknown")</f>
        <v>Gabriel Pereira</v>
      </c>
      <c r="J77" t="str">
        <f t="shared" si="1"/>
        <v>15-16</v>
      </c>
    </row>
    <row r="78" spans="1:10" x14ac:dyDescent="0.35">
      <c r="A78">
        <v>77</v>
      </c>
      <c r="B78" t="s">
        <v>26</v>
      </c>
      <c r="C78">
        <v>15</v>
      </c>
      <c r="D78" t="s">
        <v>21</v>
      </c>
      <c r="E78" t="s">
        <v>22</v>
      </c>
      <c r="F78" t="s">
        <v>24</v>
      </c>
      <c r="G78" t="s">
        <v>112</v>
      </c>
      <c r="H78">
        <v>1</v>
      </c>
      <c r="I78" t="str">
        <f>_xlfn.XLOOKUP(tbl_Students[[#This Row],[school_id]],tbl_Schools[school_id],tbl_Schools[school_name],"Unknown")</f>
        <v>Gabriel Pereira</v>
      </c>
      <c r="J78" t="str">
        <f t="shared" si="1"/>
        <v>15-16</v>
      </c>
    </row>
    <row r="79" spans="1:10" x14ac:dyDescent="0.35">
      <c r="A79">
        <v>78</v>
      </c>
      <c r="B79" t="s">
        <v>20</v>
      </c>
      <c r="C79">
        <v>16</v>
      </c>
      <c r="D79" t="s">
        <v>21</v>
      </c>
      <c r="E79" t="s">
        <v>22</v>
      </c>
      <c r="F79" t="s">
        <v>24</v>
      </c>
      <c r="G79" t="s">
        <v>112</v>
      </c>
      <c r="H79">
        <v>1</v>
      </c>
      <c r="I79" t="str">
        <f>_xlfn.XLOOKUP(tbl_Students[[#This Row],[school_id]],tbl_Schools[school_id],tbl_Schools[school_name],"Unknown")</f>
        <v>Gabriel Pereira</v>
      </c>
      <c r="J79" t="str">
        <f t="shared" si="1"/>
        <v>15-16</v>
      </c>
    </row>
    <row r="80" spans="1:10" x14ac:dyDescent="0.35">
      <c r="A80">
        <v>79</v>
      </c>
      <c r="B80" t="s">
        <v>26</v>
      </c>
      <c r="C80">
        <v>17</v>
      </c>
      <c r="D80" t="s">
        <v>21</v>
      </c>
      <c r="E80" t="s">
        <v>22</v>
      </c>
      <c r="F80" t="s">
        <v>24</v>
      </c>
      <c r="G80" t="s">
        <v>112</v>
      </c>
      <c r="H80">
        <v>1</v>
      </c>
      <c r="I80" t="str">
        <f>_xlfn.XLOOKUP(tbl_Students[[#This Row],[school_id]],tbl_Schools[school_id],tbl_Schools[school_name],"Unknown")</f>
        <v>Gabriel Pereira</v>
      </c>
      <c r="J80" t="str">
        <f t="shared" si="1"/>
        <v>17-18</v>
      </c>
    </row>
    <row r="81" spans="1:10" x14ac:dyDescent="0.35">
      <c r="A81">
        <v>80</v>
      </c>
      <c r="B81" t="s">
        <v>20</v>
      </c>
      <c r="C81">
        <v>16</v>
      </c>
      <c r="D81" t="s">
        <v>21</v>
      </c>
      <c r="E81" t="s">
        <v>22</v>
      </c>
      <c r="F81" t="s">
        <v>24</v>
      </c>
      <c r="G81" t="s">
        <v>112</v>
      </c>
      <c r="H81">
        <v>1</v>
      </c>
      <c r="I81" t="str">
        <f>_xlfn.XLOOKUP(tbl_Students[[#This Row],[school_id]],tbl_Schools[school_id],tbl_Schools[school_name],"Unknown")</f>
        <v>Gabriel Pereira</v>
      </c>
      <c r="J81" t="str">
        <f t="shared" si="1"/>
        <v>15-16</v>
      </c>
    </row>
    <row r="82" spans="1:10" x14ac:dyDescent="0.35">
      <c r="A82">
        <v>81</v>
      </c>
      <c r="B82" t="s">
        <v>26</v>
      </c>
      <c r="C82">
        <v>15</v>
      </c>
      <c r="D82" t="s">
        <v>21</v>
      </c>
      <c r="E82" t="s">
        <v>22</v>
      </c>
      <c r="F82" t="s">
        <v>24</v>
      </c>
      <c r="G82" t="s">
        <v>113</v>
      </c>
      <c r="H82">
        <v>1</v>
      </c>
      <c r="I82" t="str">
        <f>_xlfn.XLOOKUP(tbl_Students[[#This Row],[school_id]],tbl_Schools[school_id],tbl_Schools[school_name],"Unknown")</f>
        <v>Gabriel Pereira</v>
      </c>
      <c r="J82" t="str">
        <f t="shared" si="1"/>
        <v>15-16</v>
      </c>
    </row>
    <row r="83" spans="1:10" x14ac:dyDescent="0.35">
      <c r="A83">
        <v>82</v>
      </c>
      <c r="B83" t="s">
        <v>26</v>
      </c>
      <c r="C83">
        <v>15</v>
      </c>
      <c r="D83" t="s">
        <v>21</v>
      </c>
      <c r="E83" t="s">
        <v>22</v>
      </c>
      <c r="F83" t="s">
        <v>24</v>
      </c>
      <c r="G83" t="s">
        <v>112</v>
      </c>
      <c r="H83">
        <v>1</v>
      </c>
      <c r="I83" t="str">
        <f>_xlfn.XLOOKUP(tbl_Students[[#This Row],[school_id]],tbl_Schools[school_id],tbl_Schools[school_name],"Unknown")</f>
        <v>Gabriel Pereira</v>
      </c>
      <c r="J83" t="str">
        <f t="shared" si="1"/>
        <v>15-16</v>
      </c>
    </row>
    <row r="84" spans="1:10" x14ac:dyDescent="0.35">
      <c r="A84">
        <v>83</v>
      </c>
      <c r="B84" t="s">
        <v>20</v>
      </c>
      <c r="C84">
        <v>15</v>
      </c>
      <c r="D84" t="s">
        <v>21</v>
      </c>
      <c r="E84" t="s">
        <v>25</v>
      </c>
      <c r="F84" t="s">
        <v>24</v>
      </c>
      <c r="G84" t="s">
        <v>112</v>
      </c>
      <c r="H84">
        <v>1</v>
      </c>
      <c r="I84" t="str">
        <f>_xlfn.XLOOKUP(tbl_Students[[#This Row],[school_id]],tbl_Schools[school_id],tbl_Schools[school_name],"Unknown")</f>
        <v>Gabriel Pereira</v>
      </c>
      <c r="J84" t="str">
        <f t="shared" si="1"/>
        <v>15-16</v>
      </c>
    </row>
    <row r="85" spans="1:10" x14ac:dyDescent="0.35">
      <c r="A85">
        <v>84</v>
      </c>
      <c r="B85" t="s">
        <v>26</v>
      </c>
      <c r="C85">
        <v>15</v>
      </c>
      <c r="D85" t="s">
        <v>21</v>
      </c>
      <c r="E85" t="s">
        <v>25</v>
      </c>
      <c r="F85" t="s">
        <v>24</v>
      </c>
      <c r="G85" t="s">
        <v>112</v>
      </c>
      <c r="H85">
        <v>1</v>
      </c>
      <c r="I85" t="str">
        <f>_xlfn.XLOOKUP(tbl_Students[[#This Row],[school_id]],tbl_Schools[school_id],tbl_Schools[school_name],"Unknown")</f>
        <v>Gabriel Pereira</v>
      </c>
      <c r="J85" t="str">
        <f t="shared" si="1"/>
        <v>15-16</v>
      </c>
    </row>
    <row r="86" spans="1:10" x14ac:dyDescent="0.35">
      <c r="A86">
        <v>85</v>
      </c>
      <c r="B86" t="s">
        <v>20</v>
      </c>
      <c r="C86">
        <v>15</v>
      </c>
      <c r="D86" t="s">
        <v>21</v>
      </c>
      <c r="E86" t="s">
        <v>22</v>
      </c>
      <c r="F86" t="s">
        <v>24</v>
      </c>
      <c r="G86" t="s">
        <v>113</v>
      </c>
      <c r="H86">
        <v>1</v>
      </c>
      <c r="I86" t="str">
        <f>_xlfn.XLOOKUP(tbl_Students[[#This Row],[school_id]],tbl_Schools[school_id],tbl_Schools[school_name],"Unknown")</f>
        <v>Gabriel Pereira</v>
      </c>
      <c r="J86" t="str">
        <f t="shared" si="1"/>
        <v>15-16</v>
      </c>
    </row>
    <row r="87" spans="1:10" x14ac:dyDescent="0.35">
      <c r="A87">
        <v>86</v>
      </c>
      <c r="B87" t="s">
        <v>20</v>
      </c>
      <c r="C87">
        <v>15</v>
      </c>
      <c r="D87" t="s">
        <v>21</v>
      </c>
      <c r="E87" t="s">
        <v>22</v>
      </c>
      <c r="F87" t="s">
        <v>24</v>
      </c>
      <c r="G87" t="s">
        <v>113</v>
      </c>
      <c r="H87">
        <v>1</v>
      </c>
      <c r="I87" t="str">
        <f>_xlfn.XLOOKUP(tbl_Students[[#This Row],[school_id]],tbl_Schools[school_id],tbl_Schools[school_name],"Unknown")</f>
        <v>Gabriel Pereira</v>
      </c>
      <c r="J87" t="str">
        <f t="shared" si="1"/>
        <v>15-16</v>
      </c>
    </row>
    <row r="88" spans="1:10" x14ac:dyDescent="0.35">
      <c r="A88">
        <v>87</v>
      </c>
      <c r="B88" t="s">
        <v>20</v>
      </c>
      <c r="C88">
        <v>16</v>
      </c>
      <c r="D88" t="s">
        <v>21</v>
      </c>
      <c r="E88" t="s">
        <v>25</v>
      </c>
      <c r="F88" t="s">
        <v>24</v>
      </c>
      <c r="G88" t="s">
        <v>112</v>
      </c>
      <c r="H88">
        <v>1</v>
      </c>
      <c r="I88" t="str">
        <f>_xlfn.XLOOKUP(tbl_Students[[#This Row],[school_id]],tbl_Schools[school_id],tbl_Schools[school_name],"Unknown")</f>
        <v>Gabriel Pereira</v>
      </c>
      <c r="J88" t="str">
        <f t="shared" si="1"/>
        <v>15-16</v>
      </c>
    </row>
    <row r="89" spans="1:10" x14ac:dyDescent="0.35">
      <c r="A89">
        <v>88</v>
      </c>
      <c r="B89" t="s">
        <v>20</v>
      </c>
      <c r="C89">
        <v>15</v>
      </c>
      <c r="D89" t="s">
        <v>21</v>
      </c>
      <c r="E89" t="s">
        <v>22</v>
      </c>
      <c r="F89" t="s">
        <v>24</v>
      </c>
      <c r="G89" t="s">
        <v>112</v>
      </c>
      <c r="H89">
        <v>1</v>
      </c>
      <c r="I89" t="str">
        <f>_xlfn.XLOOKUP(tbl_Students[[#This Row],[school_id]],tbl_Schools[school_id],tbl_Schools[school_name],"Unknown")</f>
        <v>Gabriel Pereira</v>
      </c>
      <c r="J89" t="str">
        <f t="shared" si="1"/>
        <v>15-16</v>
      </c>
    </row>
    <row r="90" spans="1:10" x14ac:dyDescent="0.35">
      <c r="A90">
        <v>89</v>
      </c>
      <c r="B90" t="s">
        <v>26</v>
      </c>
      <c r="C90">
        <v>16</v>
      </c>
      <c r="D90" t="s">
        <v>21</v>
      </c>
      <c r="E90" t="s">
        <v>22</v>
      </c>
      <c r="F90" t="s">
        <v>24</v>
      </c>
      <c r="G90" t="s">
        <v>113</v>
      </c>
      <c r="H90">
        <v>1</v>
      </c>
      <c r="I90" t="str">
        <f>_xlfn.XLOOKUP(tbl_Students[[#This Row],[school_id]],tbl_Schools[school_id],tbl_Schools[school_name],"Unknown")</f>
        <v>Gabriel Pereira</v>
      </c>
      <c r="J90" t="str">
        <f t="shared" si="1"/>
        <v>15-16</v>
      </c>
    </row>
    <row r="91" spans="1:10" x14ac:dyDescent="0.35">
      <c r="A91">
        <v>90</v>
      </c>
      <c r="B91" t="s">
        <v>26</v>
      </c>
      <c r="C91">
        <v>16</v>
      </c>
      <c r="D91" t="s">
        <v>21</v>
      </c>
      <c r="E91" t="s">
        <v>25</v>
      </c>
      <c r="F91" t="s">
        <v>23</v>
      </c>
      <c r="G91" t="s">
        <v>112</v>
      </c>
      <c r="H91">
        <v>1</v>
      </c>
      <c r="I91" t="str">
        <f>_xlfn.XLOOKUP(tbl_Students[[#This Row],[school_id]],tbl_Schools[school_id],tbl_Schools[school_name],"Unknown")</f>
        <v>Gabriel Pereira</v>
      </c>
      <c r="J91" t="str">
        <f t="shared" si="1"/>
        <v>15-16</v>
      </c>
    </row>
    <row r="92" spans="1:10" x14ac:dyDescent="0.35">
      <c r="A92">
        <v>91</v>
      </c>
      <c r="B92" t="s">
        <v>20</v>
      </c>
      <c r="C92">
        <v>16</v>
      </c>
      <c r="D92" t="s">
        <v>21</v>
      </c>
      <c r="E92" t="s">
        <v>22</v>
      </c>
      <c r="F92" t="s">
        <v>24</v>
      </c>
      <c r="G92" t="s">
        <v>112</v>
      </c>
      <c r="H92">
        <v>1</v>
      </c>
      <c r="I92" t="str">
        <f>_xlfn.XLOOKUP(tbl_Students[[#This Row],[school_id]],tbl_Schools[school_id],tbl_Schools[school_name],"Unknown")</f>
        <v>Gabriel Pereira</v>
      </c>
      <c r="J92" t="str">
        <f t="shared" si="1"/>
        <v>15-16</v>
      </c>
    </row>
    <row r="93" spans="1:10" x14ac:dyDescent="0.35">
      <c r="A93">
        <v>92</v>
      </c>
      <c r="B93" t="s">
        <v>20</v>
      </c>
      <c r="C93">
        <v>15</v>
      </c>
      <c r="D93" t="s">
        <v>21</v>
      </c>
      <c r="E93" t="s">
        <v>22</v>
      </c>
      <c r="F93" t="s">
        <v>24</v>
      </c>
      <c r="G93" t="s">
        <v>112</v>
      </c>
      <c r="H93">
        <v>1</v>
      </c>
      <c r="I93" t="str">
        <f>_xlfn.XLOOKUP(tbl_Students[[#This Row],[school_id]],tbl_Schools[school_id],tbl_Schools[school_name],"Unknown")</f>
        <v>Gabriel Pereira</v>
      </c>
      <c r="J93" t="str">
        <f t="shared" si="1"/>
        <v>15-16</v>
      </c>
    </row>
    <row r="94" spans="1:10" x14ac:dyDescent="0.35">
      <c r="A94">
        <v>93</v>
      </c>
      <c r="B94" t="s">
        <v>20</v>
      </c>
      <c r="C94">
        <v>16</v>
      </c>
      <c r="D94" t="s">
        <v>21</v>
      </c>
      <c r="E94" t="s">
        <v>25</v>
      </c>
      <c r="F94" t="s">
        <v>24</v>
      </c>
      <c r="G94" t="s">
        <v>113</v>
      </c>
      <c r="H94">
        <v>1</v>
      </c>
      <c r="I94" t="str">
        <f>_xlfn.XLOOKUP(tbl_Students[[#This Row],[school_id]],tbl_Schools[school_id],tbl_Schools[school_name],"Unknown")</f>
        <v>Gabriel Pereira</v>
      </c>
      <c r="J94" t="str">
        <f t="shared" si="1"/>
        <v>15-16</v>
      </c>
    </row>
    <row r="95" spans="1:10" x14ac:dyDescent="0.35">
      <c r="A95">
        <v>94</v>
      </c>
      <c r="B95" t="s">
        <v>20</v>
      </c>
      <c r="C95">
        <v>16</v>
      </c>
      <c r="D95" t="s">
        <v>21</v>
      </c>
      <c r="E95" t="s">
        <v>22</v>
      </c>
      <c r="F95" t="s">
        <v>24</v>
      </c>
      <c r="G95" t="s">
        <v>112</v>
      </c>
      <c r="H95">
        <v>1</v>
      </c>
      <c r="I95" t="str">
        <f>_xlfn.XLOOKUP(tbl_Students[[#This Row],[school_id]],tbl_Schools[school_id],tbl_Schools[school_name],"Unknown")</f>
        <v>Gabriel Pereira</v>
      </c>
      <c r="J95" t="str">
        <f t="shared" si="1"/>
        <v>15-16</v>
      </c>
    </row>
    <row r="96" spans="1:10" x14ac:dyDescent="0.35">
      <c r="A96">
        <v>95</v>
      </c>
      <c r="B96" t="s">
        <v>26</v>
      </c>
      <c r="C96">
        <v>15</v>
      </c>
      <c r="D96" t="s">
        <v>21</v>
      </c>
      <c r="E96" t="s">
        <v>25</v>
      </c>
      <c r="F96" t="s">
        <v>24</v>
      </c>
      <c r="G96" t="s">
        <v>112</v>
      </c>
      <c r="H96">
        <v>1</v>
      </c>
      <c r="I96" t="str">
        <f>_xlfn.XLOOKUP(tbl_Students[[#This Row],[school_id]],tbl_Schools[school_id],tbl_Schools[school_name],"Unknown")</f>
        <v>Gabriel Pereira</v>
      </c>
      <c r="J96" t="str">
        <f t="shared" si="1"/>
        <v>15-16</v>
      </c>
    </row>
    <row r="97" spans="1:10" x14ac:dyDescent="0.35">
      <c r="A97">
        <v>96</v>
      </c>
      <c r="B97" t="s">
        <v>20</v>
      </c>
      <c r="C97">
        <v>15</v>
      </c>
      <c r="D97" t="s">
        <v>28</v>
      </c>
      <c r="E97" t="s">
        <v>22</v>
      </c>
      <c r="F97" t="s">
        <v>24</v>
      </c>
      <c r="G97" t="s">
        <v>112</v>
      </c>
      <c r="H97">
        <v>1</v>
      </c>
      <c r="I97" t="str">
        <f>_xlfn.XLOOKUP(tbl_Students[[#This Row],[school_id]],tbl_Schools[school_id],tbl_Schools[school_name],"Unknown")</f>
        <v>Gabriel Pereira</v>
      </c>
      <c r="J97" t="str">
        <f t="shared" si="1"/>
        <v>15-16</v>
      </c>
    </row>
    <row r="98" spans="1:10" x14ac:dyDescent="0.35">
      <c r="A98">
        <v>97</v>
      </c>
      <c r="B98" t="s">
        <v>26</v>
      </c>
      <c r="C98">
        <v>16</v>
      </c>
      <c r="D98" t="s">
        <v>28</v>
      </c>
      <c r="E98" t="s">
        <v>22</v>
      </c>
      <c r="F98" t="s">
        <v>24</v>
      </c>
      <c r="G98" t="s">
        <v>112</v>
      </c>
      <c r="H98">
        <v>1</v>
      </c>
      <c r="I98" t="str">
        <f>_xlfn.XLOOKUP(tbl_Students[[#This Row],[school_id]],tbl_Schools[school_id],tbl_Schools[school_name],"Unknown")</f>
        <v>Gabriel Pereira</v>
      </c>
      <c r="J98" t="str">
        <f t="shared" si="1"/>
        <v>15-16</v>
      </c>
    </row>
    <row r="99" spans="1:10" x14ac:dyDescent="0.35">
      <c r="A99">
        <v>98</v>
      </c>
      <c r="B99" t="s">
        <v>20</v>
      </c>
      <c r="C99">
        <v>16</v>
      </c>
      <c r="D99" t="s">
        <v>21</v>
      </c>
      <c r="E99" t="s">
        <v>22</v>
      </c>
      <c r="F99" t="s">
        <v>24</v>
      </c>
      <c r="G99" t="s">
        <v>112</v>
      </c>
      <c r="H99">
        <v>1</v>
      </c>
      <c r="I99" t="str">
        <f>_xlfn.XLOOKUP(tbl_Students[[#This Row],[school_id]],tbl_Schools[school_id],tbl_Schools[school_name],"Unknown")</f>
        <v>Gabriel Pereira</v>
      </c>
      <c r="J99" t="str">
        <f t="shared" si="1"/>
        <v>15-16</v>
      </c>
    </row>
    <row r="100" spans="1:10" x14ac:dyDescent="0.35">
      <c r="A100">
        <v>99</v>
      </c>
      <c r="B100" t="s">
        <v>20</v>
      </c>
      <c r="C100">
        <v>16</v>
      </c>
      <c r="D100" t="s">
        <v>21</v>
      </c>
      <c r="E100" t="s">
        <v>22</v>
      </c>
      <c r="F100" t="s">
        <v>24</v>
      </c>
      <c r="G100" t="s">
        <v>112</v>
      </c>
      <c r="H100">
        <v>1</v>
      </c>
      <c r="I100" t="str">
        <f>_xlfn.XLOOKUP(tbl_Students[[#This Row],[school_id]],tbl_Schools[school_id],tbl_Schools[school_name],"Unknown")</f>
        <v>Gabriel Pereira</v>
      </c>
      <c r="J100" t="str">
        <f t="shared" si="1"/>
        <v>15-16</v>
      </c>
    </row>
    <row r="101" spans="1:10" x14ac:dyDescent="0.35">
      <c r="A101">
        <v>100</v>
      </c>
      <c r="B101" t="s">
        <v>20</v>
      </c>
      <c r="C101">
        <v>16</v>
      </c>
      <c r="D101" t="s">
        <v>21</v>
      </c>
      <c r="E101" t="s">
        <v>22</v>
      </c>
      <c r="F101" t="s">
        <v>24</v>
      </c>
      <c r="G101" t="s">
        <v>112</v>
      </c>
      <c r="H101">
        <v>1</v>
      </c>
      <c r="I101" t="str">
        <f>_xlfn.XLOOKUP(tbl_Students[[#This Row],[school_id]],tbl_Schools[school_id],tbl_Schools[school_name],"Unknown")</f>
        <v>Gabriel Pereira</v>
      </c>
      <c r="J101" t="str">
        <f t="shared" si="1"/>
        <v>15-16</v>
      </c>
    </row>
    <row r="102" spans="1:10" x14ac:dyDescent="0.35">
      <c r="A102">
        <v>101</v>
      </c>
      <c r="B102" t="s">
        <v>26</v>
      </c>
      <c r="C102">
        <v>16</v>
      </c>
      <c r="D102" t="s">
        <v>21</v>
      </c>
      <c r="E102" t="s">
        <v>22</v>
      </c>
      <c r="F102" t="s">
        <v>24</v>
      </c>
      <c r="G102" t="s">
        <v>112</v>
      </c>
      <c r="H102">
        <v>1</v>
      </c>
      <c r="I102" t="str">
        <f>_xlfn.XLOOKUP(tbl_Students[[#This Row],[school_id]],tbl_Schools[school_id],tbl_Schools[school_name],"Unknown")</f>
        <v>Gabriel Pereira</v>
      </c>
      <c r="J102" t="str">
        <f t="shared" si="1"/>
        <v>15-16</v>
      </c>
    </row>
    <row r="103" spans="1:10" x14ac:dyDescent="0.35">
      <c r="A103">
        <v>102</v>
      </c>
      <c r="B103" t="s">
        <v>26</v>
      </c>
      <c r="C103">
        <v>16</v>
      </c>
      <c r="D103" t="s">
        <v>21</v>
      </c>
      <c r="E103" t="s">
        <v>22</v>
      </c>
      <c r="F103" t="s">
        <v>24</v>
      </c>
      <c r="G103" t="s">
        <v>113</v>
      </c>
      <c r="H103">
        <v>1</v>
      </c>
      <c r="I103" t="str">
        <f>_xlfn.XLOOKUP(tbl_Students[[#This Row],[school_id]],tbl_Schools[school_id],tbl_Schools[school_name],"Unknown")</f>
        <v>Gabriel Pereira</v>
      </c>
      <c r="J103" t="str">
        <f t="shared" si="1"/>
        <v>15-16</v>
      </c>
    </row>
    <row r="104" spans="1:10" x14ac:dyDescent="0.35">
      <c r="A104">
        <v>103</v>
      </c>
      <c r="B104" t="s">
        <v>26</v>
      </c>
      <c r="C104">
        <v>15</v>
      </c>
      <c r="D104" t="s">
        <v>21</v>
      </c>
      <c r="E104" t="s">
        <v>22</v>
      </c>
      <c r="F104" t="s">
        <v>24</v>
      </c>
      <c r="G104" t="s">
        <v>112</v>
      </c>
      <c r="H104">
        <v>1</v>
      </c>
      <c r="I104" t="str">
        <f>_xlfn.XLOOKUP(tbl_Students[[#This Row],[school_id]],tbl_Schools[school_id],tbl_Schools[school_name],"Unknown")</f>
        <v>Gabriel Pereira</v>
      </c>
      <c r="J104" t="str">
        <f t="shared" si="1"/>
        <v>15-16</v>
      </c>
    </row>
    <row r="105" spans="1:10" x14ac:dyDescent="0.35">
      <c r="A105">
        <v>104</v>
      </c>
      <c r="B105" t="s">
        <v>20</v>
      </c>
      <c r="C105">
        <v>15</v>
      </c>
      <c r="D105" t="s">
        <v>21</v>
      </c>
      <c r="E105" t="s">
        <v>22</v>
      </c>
      <c r="F105" t="s">
        <v>24</v>
      </c>
      <c r="G105" t="s">
        <v>112</v>
      </c>
      <c r="H105">
        <v>1</v>
      </c>
      <c r="I105" t="str">
        <f>_xlfn.XLOOKUP(tbl_Students[[#This Row],[school_id]],tbl_Schools[school_id],tbl_Schools[school_name],"Unknown")</f>
        <v>Gabriel Pereira</v>
      </c>
      <c r="J105" t="str">
        <f t="shared" si="1"/>
        <v>15-16</v>
      </c>
    </row>
    <row r="106" spans="1:10" x14ac:dyDescent="0.35">
      <c r="A106">
        <v>105</v>
      </c>
      <c r="B106" t="s">
        <v>26</v>
      </c>
      <c r="C106">
        <v>15</v>
      </c>
      <c r="D106" t="s">
        <v>21</v>
      </c>
      <c r="E106" t="s">
        <v>22</v>
      </c>
      <c r="F106" t="s">
        <v>23</v>
      </c>
      <c r="G106" t="s">
        <v>112</v>
      </c>
      <c r="H106">
        <v>1</v>
      </c>
      <c r="I106" t="str">
        <f>_xlfn.XLOOKUP(tbl_Students[[#This Row],[school_id]],tbl_Schools[school_id],tbl_Schools[school_name],"Unknown")</f>
        <v>Gabriel Pereira</v>
      </c>
      <c r="J106" t="str">
        <f t="shared" si="1"/>
        <v>15-16</v>
      </c>
    </row>
    <row r="107" spans="1:10" x14ac:dyDescent="0.35">
      <c r="A107">
        <v>106</v>
      </c>
      <c r="B107" t="s">
        <v>20</v>
      </c>
      <c r="C107">
        <v>15</v>
      </c>
      <c r="D107" t="s">
        <v>21</v>
      </c>
      <c r="E107" t="s">
        <v>22</v>
      </c>
      <c r="F107" t="s">
        <v>23</v>
      </c>
      <c r="G107" t="s">
        <v>113</v>
      </c>
      <c r="H107">
        <v>1</v>
      </c>
      <c r="I107" t="str">
        <f>_xlfn.XLOOKUP(tbl_Students[[#This Row],[school_id]],tbl_Schools[school_id],tbl_Schools[school_name],"Unknown")</f>
        <v>Gabriel Pereira</v>
      </c>
      <c r="J107" t="str">
        <f t="shared" si="1"/>
        <v>15-16</v>
      </c>
    </row>
    <row r="108" spans="1:10" x14ac:dyDescent="0.35">
      <c r="A108">
        <v>107</v>
      </c>
      <c r="B108" t="s">
        <v>20</v>
      </c>
      <c r="C108">
        <v>15</v>
      </c>
      <c r="D108" t="s">
        <v>21</v>
      </c>
      <c r="E108" t="s">
        <v>22</v>
      </c>
      <c r="F108" t="s">
        <v>24</v>
      </c>
      <c r="G108" t="s">
        <v>112</v>
      </c>
      <c r="H108">
        <v>1</v>
      </c>
      <c r="I108" t="str">
        <f>_xlfn.XLOOKUP(tbl_Students[[#This Row],[school_id]],tbl_Schools[school_id],tbl_Schools[school_name],"Unknown")</f>
        <v>Gabriel Pereira</v>
      </c>
      <c r="J108" t="str">
        <f t="shared" si="1"/>
        <v>15-16</v>
      </c>
    </row>
    <row r="109" spans="1:10" x14ac:dyDescent="0.35">
      <c r="A109">
        <v>108</v>
      </c>
      <c r="B109" t="s">
        <v>26</v>
      </c>
      <c r="C109">
        <v>16</v>
      </c>
      <c r="D109" t="s">
        <v>21</v>
      </c>
      <c r="E109" t="s">
        <v>22</v>
      </c>
      <c r="F109" t="s">
        <v>24</v>
      </c>
      <c r="G109" t="s">
        <v>113</v>
      </c>
      <c r="H109">
        <v>1</v>
      </c>
      <c r="I109" t="str">
        <f>_xlfn.XLOOKUP(tbl_Students[[#This Row],[school_id]],tbl_Schools[school_id],tbl_Schools[school_name],"Unknown")</f>
        <v>Gabriel Pereira</v>
      </c>
      <c r="J109" t="str">
        <f t="shared" si="1"/>
        <v>15-16</v>
      </c>
    </row>
    <row r="110" spans="1:10" x14ac:dyDescent="0.35">
      <c r="A110">
        <v>109</v>
      </c>
      <c r="B110" t="s">
        <v>26</v>
      </c>
      <c r="C110">
        <v>17</v>
      </c>
      <c r="D110" t="s">
        <v>28</v>
      </c>
      <c r="E110" t="s">
        <v>22</v>
      </c>
      <c r="F110" t="s">
        <v>24</v>
      </c>
      <c r="G110" t="s">
        <v>113</v>
      </c>
      <c r="H110">
        <v>1</v>
      </c>
      <c r="I110" t="str">
        <f>_xlfn.XLOOKUP(tbl_Students[[#This Row],[school_id]],tbl_Schools[school_id],tbl_Schools[school_name],"Unknown")</f>
        <v>Gabriel Pereira</v>
      </c>
      <c r="J110" t="str">
        <f t="shared" si="1"/>
        <v>17-18</v>
      </c>
    </row>
    <row r="111" spans="1:10" x14ac:dyDescent="0.35">
      <c r="A111">
        <v>110</v>
      </c>
      <c r="B111" t="s">
        <v>20</v>
      </c>
      <c r="C111">
        <v>16</v>
      </c>
      <c r="D111" t="s">
        <v>21</v>
      </c>
      <c r="E111" t="s">
        <v>25</v>
      </c>
      <c r="F111" t="s">
        <v>24</v>
      </c>
      <c r="G111" t="s">
        <v>112</v>
      </c>
      <c r="H111">
        <v>1</v>
      </c>
      <c r="I111" t="str">
        <f>_xlfn.XLOOKUP(tbl_Students[[#This Row],[school_id]],tbl_Schools[school_id],tbl_Schools[school_name],"Unknown")</f>
        <v>Gabriel Pereira</v>
      </c>
      <c r="J111" t="str">
        <f t="shared" si="1"/>
        <v>15-16</v>
      </c>
    </row>
    <row r="112" spans="1:10" x14ac:dyDescent="0.35">
      <c r="A112">
        <v>111</v>
      </c>
      <c r="B112" t="s">
        <v>26</v>
      </c>
      <c r="C112">
        <v>15</v>
      </c>
      <c r="D112" t="s">
        <v>21</v>
      </c>
      <c r="E112" t="s">
        <v>25</v>
      </c>
      <c r="F112" t="s">
        <v>23</v>
      </c>
      <c r="G112" t="s">
        <v>112</v>
      </c>
      <c r="H112">
        <v>1</v>
      </c>
      <c r="I112" t="str">
        <f>_xlfn.XLOOKUP(tbl_Students[[#This Row],[school_id]],tbl_Schools[school_id],tbl_Schools[school_name],"Unknown")</f>
        <v>Gabriel Pereira</v>
      </c>
      <c r="J112" t="str">
        <f t="shared" si="1"/>
        <v>15-16</v>
      </c>
    </row>
    <row r="113" spans="1:10" x14ac:dyDescent="0.35">
      <c r="A113">
        <v>112</v>
      </c>
      <c r="B113" t="s">
        <v>20</v>
      </c>
      <c r="C113">
        <v>16</v>
      </c>
      <c r="D113" t="s">
        <v>28</v>
      </c>
      <c r="E113" t="s">
        <v>22</v>
      </c>
      <c r="F113" t="s">
        <v>24</v>
      </c>
      <c r="G113" t="s">
        <v>113</v>
      </c>
      <c r="H113">
        <v>1</v>
      </c>
      <c r="I113" t="str">
        <f>_xlfn.XLOOKUP(tbl_Students[[#This Row],[school_id]],tbl_Schools[school_id],tbl_Schools[school_name],"Unknown")</f>
        <v>Gabriel Pereira</v>
      </c>
      <c r="J113" t="str">
        <f t="shared" si="1"/>
        <v>15-16</v>
      </c>
    </row>
    <row r="114" spans="1:10" x14ac:dyDescent="0.35">
      <c r="A114">
        <v>113</v>
      </c>
      <c r="B114" t="s">
        <v>20</v>
      </c>
      <c r="C114">
        <v>16</v>
      </c>
      <c r="D114" t="s">
        <v>21</v>
      </c>
      <c r="E114" t="s">
        <v>22</v>
      </c>
      <c r="F114" t="s">
        <v>24</v>
      </c>
      <c r="G114" t="s">
        <v>112</v>
      </c>
      <c r="H114">
        <v>1</v>
      </c>
      <c r="I114" t="str">
        <f>_xlfn.XLOOKUP(tbl_Students[[#This Row],[school_id]],tbl_Schools[school_id],tbl_Schools[school_name],"Unknown")</f>
        <v>Gabriel Pereira</v>
      </c>
      <c r="J114" t="str">
        <f t="shared" si="1"/>
        <v>15-16</v>
      </c>
    </row>
    <row r="115" spans="1:10" x14ac:dyDescent="0.35">
      <c r="A115">
        <v>114</v>
      </c>
      <c r="B115" t="s">
        <v>26</v>
      </c>
      <c r="C115">
        <v>15</v>
      </c>
      <c r="D115" t="s">
        <v>21</v>
      </c>
      <c r="E115" t="s">
        <v>25</v>
      </c>
      <c r="F115" t="s">
        <v>24</v>
      </c>
      <c r="G115" t="s">
        <v>112</v>
      </c>
      <c r="H115">
        <v>1</v>
      </c>
      <c r="I115" t="str">
        <f>_xlfn.XLOOKUP(tbl_Students[[#This Row],[school_id]],tbl_Schools[school_id],tbl_Schools[school_name],"Unknown")</f>
        <v>Gabriel Pereira</v>
      </c>
      <c r="J115" t="str">
        <f t="shared" si="1"/>
        <v>15-16</v>
      </c>
    </row>
    <row r="116" spans="1:10" x14ac:dyDescent="0.35">
      <c r="A116">
        <v>115</v>
      </c>
      <c r="B116" t="s">
        <v>26</v>
      </c>
      <c r="C116">
        <v>15</v>
      </c>
      <c r="D116" t="s">
        <v>28</v>
      </c>
      <c r="E116" t="s">
        <v>22</v>
      </c>
      <c r="F116" t="s">
        <v>24</v>
      </c>
      <c r="G116" t="s">
        <v>112</v>
      </c>
      <c r="H116">
        <v>1</v>
      </c>
      <c r="I116" t="str">
        <f>_xlfn.XLOOKUP(tbl_Students[[#This Row],[school_id]],tbl_Schools[school_id],tbl_Schools[school_name],"Unknown")</f>
        <v>Gabriel Pereira</v>
      </c>
      <c r="J116" t="str">
        <f t="shared" si="1"/>
        <v>15-16</v>
      </c>
    </row>
    <row r="117" spans="1:10" x14ac:dyDescent="0.35">
      <c r="A117">
        <v>116</v>
      </c>
      <c r="B117" t="s">
        <v>26</v>
      </c>
      <c r="C117">
        <v>16</v>
      </c>
      <c r="D117" t="s">
        <v>21</v>
      </c>
      <c r="E117" t="s">
        <v>22</v>
      </c>
      <c r="F117" t="s">
        <v>24</v>
      </c>
      <c r="G117" t="s">
        <v>113</v>
      </c>
      <c r="H117">
        <v>1</v>
      </c>
      <c r="I117" t="str">
        <f>_xlfn.XLOOKUP(tbl_Students[[#This Row],[school_id]],tbl_Schools[school_id],tbl_Schools[school_name],"Unknown")</f>
        <v>Gabriel Pereira</v>
      </c>
      <c r="J117" t="str">
        <f t="shared" si="1"/>
        <v>15-16</v>
      </c>
    </row>
    <row r="118" spans="1:10" x14ac:dyDescent="0.35">
      <c r="A118">
        <v>117</v>
      </c>
      <c r="B118" t="s">
        <v>26</v>
      </c>
      <c r="C118">
        <v>15</v>
      </c>
      <c r="D118" t="s">
        <v>21</v>
      </c>
      <c r="E118" t="s">
        <v>22</v>
      </c>
      <c r="F118" t="s">
        <v>24</v>
      </c>
      <c r="G118" t="s">
        <v>113</v>
      </c>
      <c r="H118">
        <v>1</v>
      </c>
      <c r="I118" t="str">
        <f>_xlfn.XLOOKUP(tbl_Students[[#This Row],[school_id]],tbl_Schools[school_id],tbl_Schools[school_name],"Unknown")</f>
        <v>Gabriel Pereira</v>
      </c>
      <c r="J118" t="str">
        <f t="shared" si="1"/>
        <v>15-16</v>
      </c>
    </row>
    <row r="119" spans="1:10" x14ac:dyDescent="0.35">
      <c r="A119">
        <v>118</v>
      </c>
      <c r="B119" t="s">
        <v>26</v>
      </c>
      <c r="C119">
        <v>16</v>
      </c>
      <c r="D119" t="s">
        <v>21</v>
      </c>
      <c r="E119" t="s">
        <v>22</v>
      </c>
      <c r="F119" t="s">
        <v>24</v>
      </c>
      <c r="G119" t="s">
        <v>113</v>
      </c>
      <c r="H119">
        <v>1</v>
      </c>
      <c r="I119" t="str">
        <f>_xlfn.XLOOKUP(tbl_Students[[#This Row],[school_id]],tbl_Schools[school_id],tbl_Schools[school_name],"Unknown")</f>
        <v>Gabriel Pereira</v>
      </c>
      <c r="J119" t="str">
        <f t="shared" si="1"/>
        <v>15-16</v>
      </c>
    </row>
    <row r="120" spans="1:10" x14ac:dyDescent="0.35">
      <c r="A120">
        <v>119</v>
      </c>
      <c r="B120" t="s">
        <v>26</v>
      </c>
      <c r="C120">
        <v>17</v>
      </c>
      <c r="D120" t="s">
        <v>28</v>
      </c>
      <c r="E120" t="s">
        <v>22</v>
      </c>
      <c r="F120" t="s">
        <v>24</v>
      </c>
      <c r="G120" t="s">
        <v>113</v>
      </c>
      <c r="H120">
        <v>1</v>
      </c>
      <c r="I120" t="str">
        <f>_xlfn.XLOOKUP(tbl_Students[[#This Row],[school_id]],tbl_Schools[school_id],tbl_Schools[school_name],"Unknown")</f>
        <v>Gabriel Pereira</v>
      </c>
      <c r="J120" t="str">
        <f t="shared" si="1"/>
        <v>17-18</v>
      </c>
    </row>
    <row r="121" spans="1:10" x14ac:dyDescent="0.35">
      <c r="A121">
        <v>120</v>
      </c>
      <c r="B121" t="s">
        <v>26</v>
      </c>
      <c r="C121">
        <v>15</v>
      </c>
      <c r="D121" t="s">
        <v>21</v>
      </c>
      <c r="E121" t="s">
        <v>22</v>
      </c>
      <c r="F121" t="s">
        <v>24</v>
      </c>
      <c r="G121" t="s">
        <v>113</v>
      </c>
      <c r="H121">
        <v>1</v>
      </c>
      <c r="I121" t="str">
        <f>_xlfn.XLOOKUP(tbl_Students[[#This Row],[school_id]],tbl_Schools[school_id],tbl_Schools[school_name],"Unknown")</f>
        <v>Gabriel Pereira</v>
      </c>
      <c r="J121" t="str">
        <f t="shared" si="1"/>
        <v>15-16</v>
      </c>
    </row>
    <row r="122" spans="1:10" x14ac:dyDescent="0.35">
      <c r="A122">
        <v>121</v>
      </c>
      <c r="B122" t="s">
        <v>20</v>
      </c>
      <c r="C122">
        <v>15</v>
      </c>
      <c r="D122" t="s">
        <v>21</v>
      </c>
      <c r="E122" t="s">
        <v>22</v>
      </c>
      <c r="F122" t="s">
        <v>24</v>
      </c>
      <c r="G122" t="s">
        <v>112</v>
      </c>
      <c r="H122">
        <v>1</v>
      </c>
      <c r="I122" t="str">
        <f>_xlfn.XLOOKUP(tbl_Students[[#This Row],[school_id]],tbl_Schools[school_id],tbl_Schools[school_name],"Unknown")</f>
        <v>Gabriel Pereira</v>
      </c>
      <c r="J122" t="str">
        <f t="shared" si="1"/>
        <v>15-16</v>
      </c>
    </row>
    <row r="123" spans="1:10" x14ac:dyDescent="0.35">
      <c r="A123">
        <v>122</v>
      </c>
      <c r="B123" t="s">
        <v>26</v>
      </c>
      <c r="C123">
        <v>15</v>
      </c>
      <c r="D123" t="s">
        <v>21</v>
      </c>
      <c r="E123" t="s">
        <v>22</v>
      </c>
      <c r="F123" t="s">
        <v>24</v>
      </c>
      <c r="G123" t="s">
        <v>113</v>
      </c>
      <c r="H123">
        <v>1</v>
      </c>
      <c r="I123" t="str">
        <f>_xlfn.XLOOKUP(tbl_Students[[#This Row],[school_id]],tbl_Schools[school_id],tbl_Schools[school_name],"Unknown")</f>
        <v>Gabriel Pereira</v>
      </c>
      <c r="J123" t="str">
        <f t="shared" si="1"/>
        <v>15-16</v>
      </c>
    </row>
    <row r="124" spans="1:10" x14ac:dyDescent="0.35">
      <c r="A124">
        <v>123</v>
      </c>
      <c r="B124" t="s">
        <v>20</v>
      </c>
      <c r="C124">
        <v>16</v>
      </c>
      <c r="D124" t="s">
        <v>21</v>
      </c>
      <c r="E124" t="s">
        <v>25</v>
      </c>
      <c r="F124" t="s">
        <v>24</v>
      </c>
      <c r="G124" t="s">
        <v>113</v>
      </c>
      <c r="H124">
        <v>1</v>
      </c>
      <c r="I124" t="str">
        <f>_xlfn.XLOOKUP(tbl_Students[[#This Row],[school_id]],tbl_Schools[school_id],tbl_Schools[school_name],"Unknown")</f>
        <v>Gabriel Pereira</v>
      </c>
      <c r="J124" t="str">
        <f t="shared" si="1"/>
        <v>15-16</v>
      </c>
    </row>
    <row r="125" spans="1:10" x14ac:dyDescent="0.35">
      <c r="A125">
        <v>124</v>
      </c>
      <c r="B125" t="s">
        <v>26</v>
      </c>
      <c r="C125">
        <v>16</v>
      </c>
      <c r="D125" t="s">
        <v>21</v>
      </c>
      <c r="E125" t="s">
        <v>22</v>
      </c>
      <c r="F125" t="s">
        <v>24</v>
      </c>
      <c r="G125" t="s">
        <v>112</v>
      </c>
      <c r="H125">
        <v>1</v>
      </c>
      <c r="I125" t="str">
        <f>_xlfn.XLOOKUP(tbl_Students[[#This Row],[school_id]],tbl_Schools[school_id],tbl_Schools[school_name],"Unknown")</f>
        <v>Gabriel Pereira</v>
      </c>
      <c r="J125" t="str">
        <f t="shared" si="1"/>
        <v>15-16</v>
      </c>
    </row>
    <row r="126" spans="1:10" x14ac:dyDescent="0.35">
      <c r="A126">
        <v>125</v>
      </c>
      <c r="B126" t="s">
        <v>20</v>
      </c>
      <c r="C126">
        <v>16</v>
      </c>
      <c r="D126" t="s">
        <v>21</v>
      </c>
      <c r="E126" t="s">
        <v>22</v>
      </c>
      <c r="F126" t="s">
        <v>24</v>
      </c>
      <c r="G126" t="s">
        <v>112</v>
      </c>
      <c r="H126">
        <v>1</v>
      </c>
      <c r="I126" t="str">
        <f>_xlfn.XLOOKUP(tbl_Students[[#This Row],[school_id]],tbl_Schools[school_id],tbl_Schools[school_name],"Unknown")</f>
        <v>Gabriel Pereira</v>
      </c>
      <c r="J126" t="str">
        <f t="shared" si="1"/>
        <v>15-16</v>
      </c>
    </row>
    <row r="127" spans="1:10" x14ac:dyDescent="0.35">
      <c r="A127">
        <v>126</v>
      </c>
      <c r="B127" t="s">
        <v>26</v>
      </c>
      <c r="C127">
        <v>15</v>
      </c>
      <c r="D127" t="s">
        <v>21</v>
      </c>
      <c r="E127" t="s">
        <v>22</v>
      </c>
      <c r="F127" t="s">
        <v>24</v>
      </c>
      <c r="G127" t="s">
        <v>113</v>
      </c>
      <c r="H127">
        <v>1</v>
      </c>
      <c r="I127" t="str">
        <f>_xlfn.XLOOKUP(tbl_Students[[#This Row],[school_id]],tbl_Schools[school_id],tbl_Schools[school_name],"Unknown")</f>
        <v>Gabriel Pereira</v>
      </c>
      <c r="J127" t="str">
        <f t="shared" si="1"/>
        <v>15-16</v>
      </c>
    </row>
    <row r="128" spans="1:10" x14ac:dyDescent="0.35">
      <c r="A128">
        <v>127</v>
      </c>
      <c r="B128" t="s">
        <v>20</v>
      </c>
      <c r="C128">
        <v>15</v>
      </c>
      <c r="D128" t="s">
        <v>21</v>
      </c>
      <c r="E128" t="s">
        <v>25</v>
      </c>
      <c r="F128" t="s">
        <v>23</v>
      </c>
      <c r="G128" t="s">
        <v>112</v>
      </c>
      <c r="H128">
        <v>1</v>
      </c>
      <c r="I128" t="str">
        <f>_xlfn.XLOOKUP(tbl_Students[[#This Row],[school_id]],tbl_Schools[school_id],tbl_Schools[school_name],"Unknown")</f>
        <v>Gabriel Pereira</v>
      </c>
      <c r="J128" t="str">
        <f t="shared" si="1"/>
        <v>15-16</v>
      </c>
    </row>
    <row r="129" spans="1:10" x14ac:dyDescent="0.35">
      <c r="A129">
        <v>128</v>
      </c>
      <c r="B129" t="s">
        <v>20</v>
      </c>
      <c r="C129">
        <v>19</v>
      </c>
      <c r="D129" t="s">
        <v>21</v>
      </c>
      <c r="E129" t="s">
        <v>22</v>
      </c>
      <c r="F129" t="s">
        <v>24</v>
      </c>
      <c r="G129" t="s">
        <v>27</v>
      </c>
      <c r="H129">
        <v>1</v>
      </c>
      <c r="I129" t="str">
        <f>_xlfn.XLOOKUP(tbl_Students[[#This Row],[school_id]],tbl_Schools[school_id],tbl_Schools[school_name],"Unknown")</f>
        <v>Gabriel Pereira</v>
      </c>
      <c r="J129" t="str">
        <f t="shared" si="1"/>
        <v>19-20</v>
      </c>
    </row>
    <row r="130" spans="1:10" x14ac:dyDescent="0.35">
      <c r="A130">
        <v>129</v>
      </c>
      <c r="B130" t="s">
        <v>26</v>
      </c>
      <c r="C130">
        <v>18</v>
      </c>
      <c r="D130" t="s">
        <v>28</v>
      </c>
      <c r="E130" t="s">
        <v>22</v>
      </c>
      <c r="F130" t="s">
        <v>24</v>
      </c>
      <c r="G130" t="s">
        <v>112</v>
      </c>
      <c r="H130">
        <v>1</v>
      </c>
      <c r="I130" t="str">
        <f>_xlfn.XLOOKUP(tbl_Students[[#This Row],[school_id]],tbl_Schools[school_id],tbl_Schools[school_name],"Unknown")</f>
        <v>Gabriel Pereira</v>
      </c>
      <c r="J130" t="str">
        <f t="shared" ref="J130:J193" si="2">IF(C130&lt;=16,"15-16",IF(C130&lt;=18,"17-18",IF(C130&lt;=20,"19-20","21-22")))</f>
        <v>17-18</v>
      </c>
    </row>
    <row r="131" spans="1:10" x14ac:dyDescent="0.35">
      <c r="A131">
        <v>130</v>
      </c>
      <c r="B131" t="s">
        <v>26</v>
      </c>
      <c r="C131">
        <v>16</v>
      </c>
      <c r="D131" t="s">
        <v>28</v>
      </c>
      <c r="E131" t="s">
        <v>22</v>
      </c>
      <c r="F131" t="s">
        <v>24</v>
      </c>
      <c r="G131" t="s">
        <v>112</v>
      </c>
      <c r="H131">
        <v>1</v>
      </c>
      <c r="I131" t="str">
        <f>_xlfn.XLOOKUP(tbl_Students[[#This Row],[school_id]],tbl_Schools[school_id],tbl_Schools[school_name],"Unknown")</f>
        <v>Gabriel Pereira</v>
      </c>
      <c r="J131" t="str">
        <f t="shared" si="2"/>
        <v>15-16</v>
      </c>
    </row>
    <row r="132" spans="1:10" x14ac:dyDescent="0.35">
      <c r="A132">
        <v>131</v>
      </c>
      <c r="B132" t="s">
        <v>20</v>
      </c>
      <c r="C132">
        <v>15</v>
      </c>
      <c r="D132" t="s">
        <v>28</v>
      </c>
      <c r="E132" t="s">
        <v>22</v>
      </c>
      <c r="F132" t="s">
        <v>24</v>
      </c>
      <c r="G132" t="s">
        <v>113</v>
      </c>
      <c r="H132">
        <v>1</v>
      </c>
      <c r="I132" t="str">
        <f>_xlfn.XLOOKUP(tbl_Students[[#This Row],[school_id]],tbl_Schools[school_id],tbl_Schools[school_name],"Unknown")</f>
        <v>Gabriel Pereira</v>
      </c>
      <c r="J132" t="str">
        <f t="shared" si="2"/>
        <v>15-16</v>
      </c>
    </row>
    <row r="133" spans="1:10" x14ac:dyDescent="0.35">
      <c r="A133">
        <v>132</v>
      </c>
      <c r="B133" t="s">
        <v>20</v>
      </c>
      <c r="C133">
        <v>15</v>
      </c>
      <c r="D133" t="s">
        <v>21</v>
      </c>
      <c r="E133" t="s">
        <v>22</v>
      </c>
      <c r="F133" t="s">
        <v>24</v>
      </c>
      <c r="G133" t="s">
        <v>112</v>
      </c>
      <c r="H133">
        <v>1</v>
      </c>
      <c r="I133" t="str">
        <f>_xlfn.XLOOKUP(tbl_Students[[#This Row],[school_id]],tbl_Schools[school_id],tbl_Schools[school_name],"Unknown")</f>
        <v>Gabriel Pereira</v>
      </c>
      <c r="J133" t="str">
        <f t="shared" si="2"/>
        <v>15-16</v>
      </c>
    </row>
    <row r="134" spans="1:10" x14ac:dyDescent="0.35">
      <c r="A134">
        <v>133</v>
      </c>
      <c r="B134" t="s">
        <v>20</v>
      </c>
      <c r="C134">
        <v>17</v>
      </c>
      <c r="D134" t="s">
        <v>21</v>
      </c>
      <c r="E134" t="s">
        <v>25</v>
      </c>
      <c r="F134" t="s">
        <v>24</v>
      </c>
      <c r="G134" t="s">
        <v>113</v>
      </c>
      <c r="H134">
        <v>1</v>
      </c>
      <c r="I134" t="str">
        <f>_xlfn.XLOOKUP(tbl_Students[[#This Row],[school_id]],tbl_Schools[school_id],tbl_Schools[school_name],"Unknown")</f>
        <v>Gabriel Pereira</v>
      </c>
      <c r="J134" t="str">
        <f t="shared" si="2"/>
        <v>17-18</v>
      </c>
    </row>
    <row r="135" spans="1:10" x14ac:dyDescent="0.35">
      <c r="A135">
        <v>134</v>
      </c>
      <c r="B135" t="s">
        <v>20</v>
      </c>
      <c r="C135">
        <v>16</v>
      </c>
      <c r="D135" t="s">
        <v>21</v>
      </c>
      <c r="E135" t="s">
        <v>22</v>
      </c>
      <c r="F135" t="s">
        <v>23</v>
      </c>
      <c r="G135" t="s">
        <v>113</v>
      </c>
      <c r="H135">
        <v>1</v>
      </c>
      <c r="I135" t="str">
        <f>_xlfn.XLOOKUP(tbl_Students[[#This Row],[school_id]],tbl_Schools[school_id],tbl_Schools[school_name],"Unknown")</f>
        <v>Gabriel Pereira</v>
      </c>
      <c r="J135" t="str">
        <f t="shared" si="2"/>
        <v>15-16</v>
      </c>
    </row>
    <row r="136" spans="1:10" x14ac:dyDescent="0.35">
      <c r="A136">
        <v>135</v>
      </c>
      <c r="B136" t="s">
        <v>26</v>
      </c>
      <c r="C136">
        <v>15</v>
      </c>
      <c r="D136" t="s">
        <v>28</v>
      </c>
      <c r="E136" t="s">
        <v>22</v>
      </c>
      <c r="F136" t="s">
        <v>24</v>
      </c>
      <c r="G136" t="s">
        <v>112</v>
      </c>
      <c r="H136">
        <v>1</v>
      </c>
      <c r="I136" t="str">
        <f>_xlfn.XLOOKUP(tbl_Students[[#This Row],[school_id]],tbl_Schools[school_id],tbl_Schools[school_name],"Unknown")</f>
        <v>Gabriel Pereira</v>
      </c>
      <c r="J136" t="str">
        <f t="shared" si="2"/>
        <v>15-16</v>
      </c>
    </row>
    <row r="137" spans="1:10" x14ac:dyDescent="0.35">
      <c r="A137">
        <v>136</v>
      </c>
      <c r="B137" t="s">
        <v>20</v>
      </c>
      <c r="C137">
        <v>15</v>
      </c>
      <c r="D137" t="s">
        <v>21</v>
      </c>
      <c r="E137" t="s">
        <v>22</v>
      </c>
      <c r="F137" t="s">
        <v>24</v>
      </c>
      <c r="G137" t="s">
        <v>112</v>
      </c>
      <c r="H137">
        <v>1</v>
      </c>
      <c r="I137" t="str">
        <f>_xlfn.XLOOKUP(tbl_Students[[#This Row],[school_id]],tbl_Schools[school_id],tbl_Schools[school_name],"Unknown")</f>
        <v>Gabriel Pereira</v>
      </c>
      <c r="J137" t="str">
        <f t="shared" si="2"/>
        <v>15-16</v>
      </c>
    </row>
    <row r="138" spans="1:10" x14ac:dyDescent="0.35">
      <c r="A138">
        <v>137</v>
      </c>
      <c r="B138" t="s">
        <v>26</v>
      </c>
      <c r="C138">
        <v>17</v>
      </c>
      <c r="D138" t="s">
        <v>28</v>
      </c>
      <c r="E138" t="s">
        <v>22</v>
      </c>
      <c r="F138" t="s">
        <v>24</v>
      </c>
      <c r="G138" t="s">
        <v>112</v>
      </c>
      <c r="H138">
        <v>1</v>
      </c>
      <c r="I138" t="str">
        <f>_xlfn.XLOOKUP(tbl_Students[[#This Row],[school_id]],tbl_Schools[school_id],tbl_Schools[school_name],"Unknown")</f>
        <v>Gabriel Pereira</v>
      </c>
      <c r="J138" t="str">
        <f t="shared" si="2"/>
        <v>17-18</v>
      </c>
    </row>
    <row r="139" spans="1:10" x14ac:dyDescent="0.35">
      <c r="A139">
        <v>138</v>
      </c>
      <c r="B139" t="s">
        <v>20</v>
      </c>
      <c r="C139">
        <v>16</v>
      </c>
      <c r="D139" t="s">
        <v>21</v>
      </c>
      <c r="E139" t="s">
        <v>22</v>
      </c>
      <c r="F139" t="s">
        <v>23</v>
      </c>
      <c r="G139" t="s">
        <v>27</v>
      </c>
      <c r="H139">
        <v>1</v>
      </c>
      <c r="I139" t="str">
        <f>_xlfn.XLOOKUP(tbl_Students[[#This Row],[school_id]],tbl_Schools[school_id],tbl_Schools[school_name],"Unknown")</f>
        <v>Gabriel Pereira</v>
      </c>
      <c r="J139" t="str">
        <f t="shared" si="2"/>
        <v>15-16</v>
      </c>
    </row>
    <row r="140" spans="1:10" x14ac:dyDescent="0.35">
      <c r="A140">
        <v>139</v>
      </c>
      <c r="B140" t="s">
        <v>26</v>
      </c>
      <c r="C140">
        <v>16</v>
      </c>
      <c r="D140" t="s">
        <v>21</v>
      </c>
      <c r="E140" t="s">
        <v>25</v>
      </c>
      <c r="F140" t="s">
        <v>24</v>
      </c>
      <c r="G140" t="s">
        <v>112</v>
      </c>
      <c r="H140">
        <v>1</v>
      </c>
      <c r="I140" t="str">
        <f>_xlfn.XLOOKUP(tbl_Students[[#This Row],[school_id]],tbl_Schools[school_id],tbl_Schools[school_name],"Unknown")</f>
        <v>Gabriel Pereira</v>
      </c>
      <c r="J140" t="str">
        <f t="shared" si="2"/>
        <v>15-16</v>
      </c>
    </row>
    <row r="141" spans="1:10" x14ac:dyDescent="0.35">
      <c r="A141">
        <v>140</v>
      </c>
      <c r="B141" t="s">
        <v>20</v>
      </c>
      <c r="C141">
        <v>15</v>
      </c>
      <c r="D141" t="s">
        <v>21</v>
      </c>
      <c r="E141" t="s">
        <v>22</v>
      </c>
      <c r="F141" t="s">
        <v>24</v>
      </c>
      <c r="G141" t="s">
        <v>112</v>
      </c>
      <c r="H141">
        <v>1</v>
      </c>
      <c r="I141" t="str">
        <f>_xlfn.XLOOKUP(tbl_Students[[#This Row],[school_id]],tbl_Schools[school_id],tbl_Schools[school_name],"Unknown")</f>
        <v>Gabriel Pereira</v>
      </c>
      <c r="J141" t="str">
        <f t="shared" si="2"/>
        <v>15-16</v>
      </c>
    </row>
    <row r="142" spans="1:10" x14ac:dyDescent="0.35">
      <c r="A142">
        <v>141</v>
      </c>
      <c r="B142" t="s">
        <v>26</v>
      </c>
      <c r="C142">
        <v>15</v>
      </c>
      <c r="D142" t="s">
        <v>21</v>
      </c>
      <c r="E142" t="s">
        <v>22</v>
      </c>
      <c r="F142" t="s">
        <v>24</v>
      </c>
      <c r="G142" t="s">
        <v>113</v>
      </c>
      <c r="H142">
        <v>1</v>
      </c>
      <c r="I142" t="str">
        <f>_xlfn.XLOOKUP(tbl_Students[[#This Row],[school_id]],tbl_Schools[school_id],tbl_Schools[school_name],"Unknown")</f>
        <v>Gabriel Pereira</v>
      </c>
      <c r="J142" t="str">
        <f t="shared" si="2"/>
        <v>15-16</v>
      </c>
    </row>
    <row r="143" spans="1:10" x14ac:dyDescent="0.35">
      <c r="A143">
        <v>142</v>
      </c>
      <c r="B143" t="s">
        <v>26</v>
      </c>
      <c r="C143">
        <v>16</v>
      </c>
      <c r="D143" t="s">
        <v>21</v>
      </c>
      <c r="E143" t="s">
        <v>25</v>
      </c>
      <c r="F143" t="s">
        <v>24</v>
      </c>
      <c r="G143" t="s">
        <v>113</v>
      </c>
      <c r="H143">
        <v>1</v>
      </c>
      <c r="I143" t="str">
        <f>_xlfn.XLOOKUP(tbl_Students[[#This Row],[school_id]],tbl_Schools[school_id],tbl_Schools[school_name],"Unknown")</f>
        <v>Gabriel Pereira</v>
      </c>
      <c r="J143" t="str">
        <f t="shared" si="2"/>
        <v>15-16</v>
      </c>
    </row>
    <row r="144" spans="1:10" x14ac:dyDescent="0.35">
      <c r="A144">
        <v>143</v>
      </c>
      <c r="B144" t="s">
        <v>20</v>
      </c>
      <c r="C144">
        <v>15</v>
      </c>
      <c r="D144" t="s">
        <v>21</v>
      </c>
      <c r="E144" t="s">
        <v>22</v>
      </c>
      <c r="F144" t="s">
        <v>24</v>
      </c>
      <c r="G144" t="s">
        <v>112</v>
      </c>
      <c r="H144">
        <v>1</v>
      </c>
      <c r="I144" t="str">
        <f>_xlfn.XLOOKUP(tbl_Students[[#This Row],[school_id]],tbl_Schools[school_id],tbl_Schools[school_name],"Unknown")</f>
        <v>Gabriel Pereira</v>
      </c>
      <c r="J144" t="str">
        <f t="shared" si="2"/>
        <v>15-16</v>
      </c>
    </row>
    <row r="145" spans="1:10" x14ac:dyDescent="0.35">
      <c r="A145">
        <v>144</v>
      </c>
      <c r="B145" t="s">
        <v>20</v>
      </c>
      <c r="C145">
        <v>16</v>
      </c>
      <c r="D145" t="s">
        <v>21</v>
      </c>
      <c r="E145" t="s">
        <v>25</v>
      </c>
      <c r="F145" t="s">
        <v>24</v>
      </c>
      <c r="G145" t="s">
        <v>112</v>
      </c>
      <c r="H145">
        <v>1</v>
      </c>
      <c r="I145" t="str">
        <f>_xlfn.XLOOKUP(tbl_Students[[#This Row],[school_id]],tbl_Schools[school_id],tbl_Schools[school_name],"Unknown")</f>
        <v>Gabriel Pereira</v>
      </c>
      <c r="J145" t="str">
        <f t="shared" si="2"/>
        <v>15-16</v>
      </c>
    </row>
    <row r="146" spans="1:10" x14ac:dyDescent="0.35">
      <c r="A146">
        <v>145</v>
      </c>
      <c r="B146" t="s">
        <v>26</v>
      </c>
      <c r="C146">
        <v>17</v>
      </c>
      <c r="D146" t="s">
        <v>21</v>
      </c>
      <c r="E146" t="s">
        <v>22</v>
      </c>
      <c r="F146" t="s">
        <v>24</v>
      </c>
      <c r="G146" t="s">
        <v>112</v>
      </c>
      <c r="H146">
        <v>1</v>
      </c>
      <c r="I146" t="str">
        <f>_xlfn.XLOOKUP(tbl_Students[[#This Row],[school_id]],tbl_Schools[school_id],tbl_Schools[school_name],"Unknown")</f>
        <v>Gabriel Pereira</v>
      </c>
      <c r="J146" t="str">
        <f t="shared" si="2"/>
        <v>17-18</v>
      </c>
    </row>
    <row r="147" spans="1:10" x14ac:dyDescent="0.35">
      <c r="A147">
        <v>146</v>
      </c>
      <c r="B147" t="s">
        <v>20</v>
      </c>
      <c r="C147">
        <v>15</v>
      </c>
      <c r="D147" t="s">
        <v>21</v>
      </c>
      <c r="E147" t="s">
        <v>22</v>
      </c>
      <c r="F147" t="s">
        <v>24</v>
      </c>
      <c r="G147" t="s">
        <v>113</v>
      </c>
      <c r="H147">
        <v>1</v>
      </c>
      <c r="I147" t="str">
        <f>_xlfn.XLOOKUP(tbl_Students[[#This Row],[school_id]],tbl_Schools[school_id],tbl_Schools[school_name],"Unknown")</f>
        <v>Gabriel Pereira</v>
      </c>
      <c r="J147" t="str">
        <f t="shared" si="2"/>
        <v>15-16</v>
      </c>
    </row>
    <row r="148" spans="1:10" x14ac:dyDescent="0.35">
      <c r="A148">
        <v>147</v>
      </c>
      <c r="B148" t="s">
        <v>20</v>
      </c>
      <c r="C148">
        <v>15</v>
      </c>
      <c r="D148" t="s">
        <v>21</v>
      </c>
      <c r="E148" t="s">
        <v>22</v>
      </c>
      <c r="F148" t="s">
        <v>24</v>
      </c>
      <c r="G148" t="s">
        <v>113</v>
      </c>
      <c r="H148">
        <v>1</v>
      </c>
      <c r="I148" t="str">
        <f>_xlfn.XLOOKUP(tbl_Students[[#This Row],[school_id]],tbl_Schools[school_id],tbl_Schools[school_name],"Unknown")</f>
        <v>Gabriel Pereira</v>
      </c>
      <c r="J148" t="str">
        <f t="shared" si="2"/>
        <v>15-16</v>
      </c>
    </row>
    <row r="149" spans="1:10" x14ac:dyDescent="0.35">
      <c r="A149">
        <v>148</v>
      </c>
      <c r="B149" t="s">
        <v>20</v>
      </c>
      <c r="C149">
        <v>15</v>
      </c>
      <c r="D149" t="s">
        <v>21</v>
      </c>
      <c r="E149" t="s">
        <v>22</v>
      </c>
      <c r="F149" t="s">
        <v>24</v>
      </c>
      <c r="G149" t="s">
        <v>112</v>
      </c>
      <c r="H149">
        <v>1</v>
      </c>
      <c r="I149" t="str">
        <f>_xlfn.XLOOKUP(tbl_Students[[#This Row],[school_id]],tbl_Schools[school_id],tbl_Schools[school_name],"Unknown")</f>
        <v>Gabriel Pereira</v>
      </c>
      <c r="J149" t="str">
        <f t="shared" si="2"/>
        <v>15-16</v>
      </c>
    </row>
    <row r="150" spans="1:10" x14ac:dyDescent="0.35">
      <c r="A150">
        <v>149</v>
      </c>
      <c r="B150" t="s">
        <v>26</v>
      </c>
      <c r="C150">
        <v>16</v>
      </c>
      <c r="D150" t="s">
        <v>21</v>
      </c>
      <c r="E150" t="s">
        <v>22</v>
      </c>
      <c r="F150" t="s">
        <v>24</v>
      </c>
      <c r="G150" t="s">
        <v>112</v>
      </c>
      <c r="H150">
        <v>1</v>
      </c>
      <c r="I150" t="str">
        <f>_xlfn.XLOOKUP(tbl_Students[[#This Row],[school_id]],tbl_Schools[school_id],tbl_Schools[school_name],"Unknown")</f>
        <v>Gabriel Pereira</v>
      </c>
      <c r="J150" t="str">
        <f t="shared" si="2"/>
        <v>15-16</v>
      </c>
    </row>
    <row r="151" spans="1:10" x14ac:dyDescent="0.35">
      <c r="A151">
        <v>150</v>
      </c>
      <c r="B151" t="s">
        <v>26</v>
      </c>
      <c r="C151">
        <v>15</v>
      </c>
      <c r="D151" t="s">
        <v>21</v>
      </c>
      <c r="E151" t="s">
        <v>25</v>
      </c>
      <c r="F151" t="s">
        <v>23</v>
      </c>
      <c r="G151" t="s">
        <v>112</v>
      </c>
      <c r="H151">
        <v>1</v>
      </c>
      <c r="I151" t="str">
        <f>_xlfn.XLOOKUP(tbl_Students[[#This Row],[school_id]],tbl_Schools[school_id],tbl_Schools[school_name],"Unknown")</f>
        <v>Gabriel Pereira</v>
      </c>
      <c r="J151" t="str">
        <f t="shared" si="2"/>
        <v>15-16</v>
      </c>
    </row>
    <row r="152" spans="1:10" x14ac:dyDescent="0.35">
      <c r="A152">
        <v>151</v>
      </c>
      <c r="B152" t="s">
        <v>26</v>
      </c>
      <c r="C152">
        <v>18</v>
      </c>
      <c r="D152" t="s">
        <v>21</v>
      </c>
      <c r="E152" t="s">
        <v>25</v>
      </c>
      <c r="F152" t="s">
        <v>24</v>
      </c>
      <c r="G152" t="s">
        <v>112</v>
      </c>
      <c r="H152">
        <v>1</v>
      </c>
      <c r="I152" t="str">
        <f>_xlfn.XLOOKUP(tbl_Students[[#This Row],[school_id]],tbl_Schools[school_id],tbl_Schools[school_name],"Unknown")</f>
        <v>Gabriel Pereira</v>
      </c>
      <c r="J152" t="str">
        <f t="shared" si="2"/>
        <v>17-18</v>
      </c>
    </row>
    <row r="153" spans="1:10" x14ac:dyDescent="0.35">
      <c r="A153">
        <v>152</v>
      </c>
      <c r="B153" t="s">
        <v>26</v>
      </c>
      <c r="C153">
        <v>16</v>
      </c>
      <c r="D153" t="s">
        <v>21</v>
      </c>
      <c r="E153" t="s">
        <v>25</v>
      </c>
      <c r="F153" t="s">
        <v>24</v>
      </c>
      <c r="G153" t="s">
        <v>112</v>
      </c>
      <c r="H153">
        <v>1</v>
      </c>
      <c r="I153" t="str">
        <f>_xlfn.XLOOKUP(tbl_Students[[#This Row],[school_id]],tbl_Schools[school_id],tbl_Schools[school_name],"Unknown")</f>
        <v>Gabriel Pereira</v>
      </c>
      <c r="J153" t="str">
        <f t="shared" si="2"/>
        <v>15-16</v>
      </c>
    </row>
    <row r="154" spans="1:10" x14ac:dyDescent="0.35">
      <c r="A154">
        <v>153</v>
      </c>
      <c r="B154" t="s">
        <v>20</v>
      </c>
      <c r="C154">
        <v>15</v>
      </c>
      <c r="D154" t="s">
        <v>28</v>
      </c>
      <c r="E154" t="s">
        <v>22</v>
      </c>
      <c r="F154" t="s">
        <v>24</v>
      </c>
      <c r="G154" t="s">
        <v>27</v>
      </c>
      <c r="H154">
        <v>1</v>
      </c>
      <c r="I154" t="str">
        <f>_xlfn.XLOOKUP(tbl_Students[[#This Row],[school_id]],tbl_Schools[school_id],tbl_Schools[school_name],"Unknown")</f>
        <v>Gabriel Pereira</v>
      </c>
      <c r="J154" t="str">
        <f t="shared" si="2"/>
        <v>15-16</v>
      </c>
    </row>
    <row r="155" spans="1:10" x14ac:dyDescent="0.35">
      <c r="A155">
        <v>154</v>
      </c>
      <c r="B155" t="s">
        <v>26</v>
      </c>
      <c r="C155">
        <v>19</v>
      </c>
      <c r="D155" t="s">
        <v>21</v>
      </c>
      <c r="E155" t="s">
        <v>22</v>
      </c>
      <c r="F155" t="s">
        <v>24</v>
      </c>
      <c r="G155" t="s">
        <v>112</v>
      </c>
      <c r="H155">
        <v>1</v>
      </c>
      <c r="I155" t="str">
        <f>_xlfn.XLOOKUP(tbl_Students[[#This Row],[school_id]],tbl_Schools[school_id],tbl_Schools[school_name],"Unknown")</f>
        <v>Gabriel Pereira</v>
      </c>
      <c r="J155" t="str">
        <f t="shared" si="2"/>
        <v>19-20</v>
      </c>
    </row>
    <row r="156" spans="1:10" x14ac:dyDescent="0.35">
      <c r="A156">
        <v>155</v>
      </c>
      <c r="B156" t="s">
        <v>20</v>
      </c>
      <c r="C156">
        <v>17</v>
      </c>
      <c r="D156" t="s">
        <v>21</v>
      </c>
      <c r="E156" t="s">
        <v>22</v>
      </c>
      <c r="F156" t="s">
        <v>24</v>
      </c>
      <c r="G156" t="s">
        <v>112</v>
      </c>
      <c r="H156">
        <v>1</v>
      </c>
      <c r="I156" t="str">
        <f>_xlfn.XLOOKUP(tbl_Students[[#This Row],[school_id]],tbl_Schools[school_id],tbl_Schools[school_name],"Unknown")</f>
        <v>Gabriel Pereira</v>
      </c>
      <c r="J156" t="str">
        <f t="shared" si="2"/>
        <v>17-18</v>
      </c>
    </row>
    <row r="157" spans="1:10" x14ac:dyDescent="0.35">
      <c r="A157">
        <v>156</v>
      </c>
      <c r="B157" t="s">
        <v>26</v>
      </c>
      <c r="C157">
        <v>15</v>
      </c>
      <c r="D157" t="s">
        <v>28</v>
      </c>
      <c r="E157" t="s">
        <v>22</v>
      </c>
      <c r="F157" t="s">
        <v>24</v>
      </c>
      <c r="G157" t="s">
        <v>112</v>
      </c>
      <c r="H157">
        <v>1</v>
      </c>
      <c r="I157" t="str">
        <f>_xlfn.XLOOKUP(tbl_Students[[#This Row],[school_id]],tbl_Schools[school_id],tbl_Schools[school_name],"Unknown")</f>
        <v>Gabriel Pereira</v>
      </c>
      <c r="J157" t="str">
        <f t="shared" si="2"/>
        <v>15-16</v>
      </c>
    </row>
    <row r="158" spans="1:10" x14ac:dyDescent="0.35">
      <c r="A158">
        <v>157</v>
      </c>
      <c r="B158" t="s">
        <v>26</v>
      </c>
      <c r="C158">
        <v>17</v>
      </c>
      <c r="D158" t="s">
        <v>28</v>
      </c>
      <c r="E158" t="s">
        <v>25</v>
      </c>
      <c r="F158" t="s">
        <v>24</v>
      </c>
      <c r="G158" t="s">
        <v>112</v>
      </c>
      <c r="H158">
        <v>1</v>
      </c>
      <c r="I158" t="str">
        <f>_xlfn.XLOOKUP(tbl_Students[[#This Row],[school_id]],tbl_Schools[school_id],tbl_Schools[school_name],"Unknown")</f>
        <v>Gabriel Pereira</v>
      </c>
      <c r="J158" t="str">
        <f t="shared" si="2"/>
        <v>17-18</v>
      </c>
    </row>
    <row r="159" spans="1:10" x14ac:dyDescent="0.35">
      <c r="A159">
        <v>158</v>
      </c>
      <c r="B159" t="s">
        <v>20</v>
      </c>
      <c r="C159">
        <v>18</v>
      </c>
      <c r="D159" t="s">
        <v>28</v>
      </c>
      <c r="E159" t="s">
        <v>22</v>
      </c>
      <c r="F159" t="s">
        <v>24</v>
      </c>
      <c r="G159" t="s">
        <v>112</v>
      </c>
      <c r="H159">
        <v>1</v>
      </c>
      <c r="I159" t="str">
        <f>_xlfn.XLOOKUP(tbl_Students[[#This Row],[school_id]],tbl_Schools[school_id],tbl_Schools[school_name],"Unknown")</f>
        <v>Gabriel Pereira</v>
      </c>
      <c r="J159" t="str">
        <f t="shared" si="2"/>
        <v>17-18</v>
      </c>
    </row>
    <row r="160" spans="1:10" x14ac:dyDescent="0.35">
      <c r="A160">
        <v>159</v>
      </c>
      <c r="B160" t="s">
        <v>26</v>
      </c>
      <c r="C160">
        <v>16</v>
      </c>
      <c r="D160" t="s">
        <v>28</v>
      </c>
      <c r="E160" t="s">
        <v>22</v>
      </c>
      <c r="F160" t="s">
        <v>24</v>
      </c>
      <c r="G160" t="s">
        <v>112</v>
      </c>
      <c r="H160">
        <v>1</v>
      </c>
      <c r="I160" t="str">
        <f>_xlfn.XLOOKUP(tbl_Students[[#This Row],[school_id]],tbl_Schools[school_id],tbl_Schools[school_name],"Unknown")</f>
        <v>Gabriel Pereira</v>
      </c>
      <c r="J160" t="str">
        <f t="shared" si="2"/>
        <v>15-16</v>
      </c>
    </row>
    <row r="161" spans="1:10" x14ac:dyDescent="0.35">
      <c r="A161">
        <v>160</v>
      </c>
      <c r="B161" t="s">
        <v>26</v>
      </c>
      <c r="C161">
        <v>16</v>
      </c>
      <c r="D161" t="s">
        <v>21</v>
      </c>
      <c r="E161" t="s">
        <v>22</v>
      </c>
      <c r="F161" t="s">
        <v>24</v>
      </c>
      <c r="G161" t="s">
        <v>113</v>
      </c>
      <c r="H161">
        <v>1</v>
      </c>
      <c r="I161" t="str">
        <f>_xlfn.XLOOKUP(tbl_Students[[#This Row],[school_id]],tbl_Schools[school_id],tbl_Schools[school_name],"Unknown")</f>
        <v>Gabriel Pereira</v>
      </c>
      <c r="J161" t="str">
        <f t="shared" si="2"/>
        <v>15-16</v>
      </c>
    </row>
    <row r="162" spans="1:10" x14ac:dyDescent="0.35">
      <c r="A162">
        <v>161</v>
      </c>
      <c r="B162" t="s">
        <v>26</v>
      </c>
      <c r="C162">
        <v>17</v>
      </c>
      <c r="D162" t="s">
        <v>28</v>
      </c>
      <c r="E162" t="s">
        <v>25</v>
      </c>
      <c r="F162" t="s">
        <v>24</v>
      </c>
      <c r="G162" t="s">
        <v>112</v>
      </c>
      <c r="H162">
        <v>1</v>
      </c>
      <c r="I162" t="str">
        <f>_xlfn.XLOOKUP(tbl_Students[[#This Row],[school_id]],tbl_Schools[school_id],tbl_Schools[school_name],"Unknown")</f>
        <v>Gabriel Pereira</v>
      </c>
      <c r="J162" t="str">
        <f t="shared" si="2"/>
        <v>17-18</v>
      </c>
    </row>
    <row r="163" spans="1:10" x14ac:dyDescent="0.35">
      <c r="A163">
        <v>162</v>
      </c>
      <c r="B163" t="s">
        <v>26</v>
      </c>
      <c r="C163">
        <v>17</v>
      </c>
      <c r="D163" t="s">
        <v>28</v>
      </c>
      <c r="E163" t="s">
        <v>22</v>
      </c>
      <c r="F163" t="s">
        <v>24</v>
      </c>
      <c r="G163" t="s">
        <v>112</v>
      </c>
      <c r="H163">
        <v>1</v>
      </c>
      <c r="I163" t="str">
        <f>_xlfn.XLOOKUP(tbl_Students[[#This Row],[school_id]],tbl_Schools[school_id],tbl_Schools[school_name],"Unknown")</f>
        <v>Gabriel Pereira</v>
      </c>
      <c r="J163" t="str">
        <f t="shared" si="2"/>
        <v>17-18</v>
      </c>
    </row>
    <row r="164" spans="1:10" x14ac:dyDescent="0.35">
      <c r="A164">
        <v>163</v>
      </c>
      <c r="B164" t="s">
        <v>26</v>
      </c>
      <c r="C164">
        <v>16</v>
      </c>
      <c r="D164" t="s">
        <v>21</v>
      </c>
      <c r="E164" t="s">
        <v>25</v>
      </c>
      <c r="F164" t="s">
        <v>24</v>
      </c>
      <c r="G164" t="s">
        <v>112</v>
      </c>
      <c r="H164">
        <v>1</v>
      </c>
      <c r="I164" t="str">
        <f>_xlfn.XLOOKUP(tbl_Students[[#This Row],[school_id]],tbl_Schools[school_id],tbl_Schools[school_name],"Unknown")</f>
        <v>Gabriel Pereira</v>
      </c>
      <c r="J164" t="str">
        <f t="shared" si="2"/>
        <v>15-16</v>
      </c>
    </row>
    <row r="165" spans="1:10" x14ac:dyDescent="0.35">
      <c r="A165">
        <v>164</v>
      </c>
      <c r="B165" t="s">
        <v>26</v>
      </c>
      <c r="C165">
        <v>17</v>
      </c>
      <c r="D165" t="s">
        <v>21</v>
      </c>
      <c r="E165" t="s">
        <v>22</v>
      </c>
      <c r="F165" t="s">
        <v>24</v>
      </c>
      <c r="G165" t="s">
        <v>113</v>
      </c>
      <c r="H165">
        <v>1</v>
      </c>
      <c r="I165" t="str">
        <f>_xlfn.XLOOKUP(tbl_Students[[#This Row],[school_id]],tbl_Schools[school_id],tbl_Schools[school_name],"Unknown")</f>
        <v>Gabriel Pereira</v>
      </c>
      <c r="J165" t="str">
        <f t="shared" si="2"/>
        <v>17-18</v>
      </c>
    </row>
    <row r="166" spans="1:10" x14ac:dyDescent="0.35">
      <c r="A166">
        <v>165</v>
      </c>
      <c r="B166" t="s">
        <v>26</v>
      </c>
      <c r="C166">
        <v>17</v>
      </c>
      <c r="D166" t="s">
        <v>28</v>
      </c>
      <c r="E166" t="s">
        <v>25</v>
      </c>
      <c r="F166" t="s">
        <v>24</v>
      </c>
      <c r="G166" t="s">
        <v>112</v>
      </c>
      <c r="H166">
        <v>1</v>
      </c>
      <c r="I166" t="str">
        <f>_xlfn.XLOOKUP(tbl_Students[[#This Row],[school_id]],tbl_Schools[school_id],tbl_Schools[school_name],"Unknown")</f>
        <v>Gabriel Pereira</v>
      </c>
      <c r="J166" t="str">
        <f t="shared" si="2"/>
        <v>17-18</v>
      </c>
    </row>
    <row r="167" spans="1:10" x14ac:dyDescent="0.35">
      <c r="A167">
        <v>166</v>
      </c>
      <c r="B167" t="s">
        <v>26</v>
      </c>
      <c r="C167">
        <v>16</v>
      </c>
      <c r="D167" t="s">
        <v>21</v>
      </c>
      <c r="E167" t="s">
        <v>22</v>
      </c>
      <c r="F167" t="s">
        <v>24</v>
      </c>
      <c r="G167" t="s">
        <v>112</v>
      </c>
      <c r="H167">
        <v>1</v>
      </c>
      <c r="I167" t="str">
        <f>_xlfn.XLOOKUP(tbl_Students[[#This Row],[school_id]],tbl_Schools[school_id],tbl_Schools[school_name],"Unknown")</f>
        <v>Gabriel Pereira</v>
      </c>
      <c r="J167" t="str">
        <f t="shared" si="2"/>
        <v>15-16</v>
      </c>
    </row>
    <row r="168" spans="1:10" x14ac:dyDescent="0.35">
      <c r="A168">
        <v>167</v>
      </c>
      <c r="B168" t="s">
        <v>26</v>
      </c>
      <c r="C168">
        <v>16</v>
      </c>
      <c r="D168" t="s">
        <v>21</v>
      </c>
      <c r="E168" t="s">
        <v>22</v>
      </c>
      <c r="F168" t="s">
        <v>24</v>
      </c>
      <c r="G168" t="s">
        <v>113</v>
      </c>
      <c r="H168">
        <v>1</v>
      </c>
      <c r="I168" t="str">
        <f>_xlfn.XLOOKUP(tbl_Students[[#This Row],[school_id]],tbl_Schools[school_id],tbl_Schools[school_name],"Unknown")</f>
        <v>Gabriel Pereira</v>
      </c>
      <c r="J168" t="str">
        <f t="shared" si="2"/>
        <v>15-16</v>
      </c>
    </row>
    <row r="169" spans="1:10" x14ac:dyDescent="0.35">
      <c r="A169">
        <v>168</v>
      </c>
      <c r="B169" t="s">
        <v>20</v>
      </c>
      <c r="C169">
        <v>16</v>
      </c>
      <c r="D169" t="s">
        <v>21</v>
      </c>
      <c r="E169" t="s">
        <v>22</v>
      </c>
      <c r="F169" t="s">
        <v>24</v>
      </c>
      <c r="G169" t="s">
        <v>113</v>
      </c>
      <c r="H169">
        <v>1</v>
      </c>
      <c r="I169" t="str">
        <f>_xlfn.XLOOKUP(tbl_Students[[#This Row],[school_id]],tbl_Schools[school_id],tbl_Schools[school_name],"Unknown")</f>
        <v>Gabriel Pereira</v>
      </c>
      <c r="J169" t="str">
        <f t="shared" si="2"/>
        <v>15-16</v>
      </c>
    </row>
    <row r="170" spans="1:10" x14ac:dyDescent="0.35">
      <c r="A170">
        <v>169</v>
      </c>
      <c r="B170" t="s">
        <v>20</v>
      </c>
      <c r="C170">
        <v>16</v>
      </c>
      <c r="D170" t="s">
        <v>21</v>
      </c>
      <c r="E170" t="s">
        <v>22</v>
      </c>
      <c r="F170" t="s">
        <v>24</v>
      </c>
      <c r="G170" t="s">
        <v>112</v>
      </c>
      <c r="H170">
        <v>1</v>
      </c>
      <c r="I170" t="str">
        <f>_xlfn.XLOOKUP(tbl_Students[[#This Row],[school_id]],tbl_Schools[school_id],tbl_Schools[school_name],"Unknown")</f>
        <v>Gabriel Pereira</v>
      </c>
      <c r="J170" t="str">
        <f t="shared" si="2"/>
        <v>15-16</v>
      </c>
    </row>
    <row r="171" spans="1:10" x14ac:dyDescent="0.35">
      <c r="A171">
        <v>170</v>
      </c>
      <c r="B171" t="s">
        <v>20</v>
      </c>
      <c r="C171">
        <v>16</v>
      </c>
      <c r="D171" t="s">
        <v>21</v>
      </c>
      <c r="E171" t="s">
        <v>22</v>
      </c>
      <c r="F171" t="s">
        <v>24</v>
      </c>
      <c r="G171" t="s">
        <v>112</v>
      </c>
      <c r="H171">
        <v>1</v>
      </c>
      <c r="I171" t="str">
        <f>_xlfn.XLOOKUP(tbl_Students[[#This Row],[school_id]],tbl_Schools[school_id],tbl_Schools[school_name],"Unknown")</f>
        <v>Gabriel Pereira</v>
      </c>
      <c r="J171" t="str">
        <f t="shared" si="2"/>
        <v>15-16</v>
      </c>
    </row>
    <row r="172" spans="1:10" x14ac:dyDescent="0.35">
      <c r="A172">
        <v>171</v>
      </c>
      <c r="B172" t="s">
        <v>26</v>
      </c>
      <c r="C172">
        <v>16</v>
      </c>
      <c r="D172" t="s">
        <v>21</v>
      </c>
      <c r="E172" t="s">
        <v>22</v>
      </c>
      <c r="F172" t="s">
        <v>24</v>
      </c>
      <c r="G172" t="s">
        <v>113</v>
      </c>
      <c r="H172">
        <v>1</v>
      </c>
      <c r="I172" t="str">
        <f>_xlfn.XLOOKUP(tbl_Students[[#This Row],[school_id]],tbl_Schools[school_id],tbl_Schools[school_name],"Unknown")</f>
        <v>Gabriel Pereira</v>
      </c>
      <c r="J172" t="str">
        <f t="shared" si="2"/>
        <v>15-16</v>
      </c>
    </row>
    <row r="173" spans="1:10" x14ac:dyDescent="0.35">
      <c r="A173">
        <v>172</v>
      </c>
      <c r="B173" t="s">
        <v>26</v>
      </c>
      <c r="C173">
        <v>16</v>
      </c>
      <c r="D173" t="s">
        <v>21</v>
      </c>
      <c r="E173" t="s">
        <v>22</v>
      </c>
      <c r="F173" t="s">
        <v>24</v>
      </c>
      <c r="G173" t="s">
        <v>112</v>
      </c>
      <c r="H173">
        <v>1</v>
      </c>
      <c r="I173" t="str">
        <f>_xlfn.XLOOKUP(tbl_Students[[#This Row],[school_id]],tbl_Schools[school_id],tbl_Schools[school_name],"Unknown")</f>
        <v>Gabriel Pereira</v>
      </c>
      <c r="J173" t="str">
        <f t="shared" si="2"/>
        <v>15-16</v>
      </c>
    </row>
    <row r="174" spans="1:10" x14ac:dyDescent="0.35">
      <c r="A174">
        <v>173</v>
      </c>
      <c r="B174" t="s">
        <v>26</v>
      </c>
      <c r="C174">
        <v>17</v>
      </c>
      <c r="D174" t="s">
        <v>21</v>
      </c>
      <c r="E174" t="s">
        <v>25</v>
      </c>
      <c r="F174" t="s">
        <v>24</v>
      </c>
      <c r="G174" t="s">
        <v>112</v>
      </c>
      <c r="H174">
        <v>1</v>
      </c>
      <c r="I174" t="str">
        <f>_xlfn.XLOOKUP(tbl_Students[[#This Row],[school_id]],tbl_Schools[school_id],tbl_Schools[school_name],"Unknown")</f>
        <v>Gabriel Pereira</v>
      </c>
      <c r="J174" t="str">
        <f t="shared" si="2"/>
        <v>17-18</v>
      </c>
    </row>
    <row r="175" spans="1:10" x14ac:dyDescent="0.35">
      <c r="A175">
        <v>174</v>
      </c>
      <c r="B175" t="s">
        <v>20</v>
      </c>
      <c r="C175">
        <v>16</v>
      </c>
      <c r="D175" t="s">
        <v>21</v>
      </c>
      <c r="E175" t="s">
        <v>22</v>
      </c>
      <c r="F175" t="s">
        <v>24</v>
      </c>
      <c r="G175" t="s">
        <v>112</v>
      </c>
      <c r="H175">
        <v>1</v>
      </c>
      <c r="I175" t="str">
        <f>_xlfn.XLOOKUP(tbl_Students[[#This Row],[school_id]],tbl_Schools[school_id],tbl_Schools[school_name],"Unknown")</f>
        <v>Gabriel Pereira</v>
      </c>
      <c r="J175" t="str">
        <f t="shared" si="2"/>
        <v>15-16</v>
      </c>
    </row>
    <row r="176" spans="1:10" x14ac:dyDescent="0.35">
      <c r="A176">
        <v>175</v>
      </c>
      <c r="B176" t="s">
        <v>20</v>
      </c>
      <c r="C176">
        <v>16</v>
      </c>
      <c r="D176" t="s">
        <v>21</v>
      </c>
      <c r="E176" t="s">
        <v>25</v>
      </c>
      <c r="F176" t="s">
        <v>24</v>
      </c>
      <c r="G176" t="s">
        <v>112</v>
      </c>
      <c r="H176">
        <v>1</v>
      </c>
      <c r="I176" t="str">
        <f>_xlfn.XLOOKUP(tbl_Students[[#This Row],[school_id]],tbl_Schools[school_id],tbl_Schools[school_name],"Unknown")</f>
        <v>Gabriel Pereira</v>
      </c>
      <c r="J176" t="str">
        <f t="shared" si="2"/>
        <v>15-16</v>
      </c>
    </row>
    <row r="177" spans="1:10" x14ac:dyDescent="0.35">
      <c r="A177">
        <v>176</v>
      </c>
      <c r="B177" t="s">
        <v>26</v>
      </c>
      <c r="C177">
        <v>17</v>
      </c>
      <c r="D177" t="s">
        <v>21</v>
      </c>
      <c r="E177" t="s">
        <v>25</v>
      </c>
      <c r="F177" t="s">
        <v>24</v>
      </c>
      <c r="G177" t="s">
        <v>112</v>
      </c>
      <c r="H177">
        <v>1</v>
      </c>
      <c r="I177" t="str">
        <f>_xlfn.XLOOKUP(tbl_Students[[#This Row],[school_id]],tbl_Schools[school_id],tbl_Schools[school_name],"Unknown")</f>
        <v>Gabriel Pereira</v>
      </c>
      <c r="J177" t="str">
        <f t="shared" si="2"/>
        <v>17-18</v>
      </c>
    </row>
    <row r="178" spans="1:10" x14ac:dyDescent="0.35">
      <c r="A178">
        <v>177</v>
      </c>
      <c r="B178" t="s">
        <v>20</v>
      </c>
      <c r="C178">
        <v>16</v>
      </c>
      <c r="D178" t="s">
        <v>21</v>
      </c>
      <c r="E178" t="s">
        <v>22</v>
      </c>
      <c r="F178" t="s">
        <v>24</v>
      </c>
      <c r="G178" t="s">
        <v>112</v>
      </c>
      <c r="H178">
        <v>1</v>
      </c>
      <c r="I178" t="str">
        <f>_xlfn.XLOOKUP(tbl_Students[[#This Row],[school_id]],tbl_Schools[school_id],tbl_Schools[school_name],"Unknown")</f>
        <v>Gabriel Pereira</v>
      </c>
      <c r="J178" t="str">
        <f t="shared" si="2"/>
        <v>15-16</v>
      </c>
    </row>
    <row r="179" spans="1:10" x14ac:dyDescent="0.35">
      <c r="A179">
        <v>178</v>
      </c>
      <c r="B179" t="s">
        <v>26</v>
      </c>
      <c r="C179">
        <v>17</v>
      </c>
      <c r="D179" t="s">
        <v>21</v>
      </c>
      <c r="E179" t="s">
        <v>22</v>
      </c>
      <c r="F179" t="s">
        <v>24</v>
      </c>
      <c r="G179" t="s">
        <v>113</v>
      </c>
      <c r="H179">
        <v>1</v>
      </c>
      <c r="I179" t="str">
        <f>_xlfn.XLOOKUP(tbl_Students[[#This Row],[school_id]],tbl_Schools[school_id],tbl_Schools[school_name],"Unknown")</f>
        <v>Gabriel Pereira</v>
      </c>
      <c r="J179" t="str">
        <f t="shared" si="2"/>
        <v>17-18</v>
      </c>
    </row>
    <row r="180" spans="1:10" x14ac:dyDescent="0.35">
      <c r="A180">
        <v>179</v>
      </c>
      <c r="B180" t="s">
        <v>26</v>
      </c>
      <c r="C180">
        <v>16</v>
      </c>
      <c r="D180" t="s">
        <v>28</v>
      </c>
      <c r="E180" t="s">
        <v>22</v>
      </c>
      <c r="F180" t="s">
        <v>24</v>
      </c>
      <c r="G180" t="s">
        <v>112</v>
      </c>
      <c r="H180">
        <v>1</v>
      </c>
      <c r="I180" t="str">
        <f>_xlfn.XLOOKUP(tbl_Students[[#This Row],[school_id]],tbl_Schools[school_id],tbl_Schools[school_name],"Unknown")</f>
        <v>Gabriel Pereira</v>
      </c>
      <c r="J180" t="str">
        <f t="shared" si="2"/>
        <v>15-16</v>
      </c>
    </row>
    <row r="181" spans="1:10" x14ac:dyDescent="0.35">
      <c r="A181">
        <v>180</v>
      </c>
      <c r="B181" t="s">
        <v>26</v>
      </c>
      <c r="C181">
        <v>17</v>
      </c>
      <c r="D181" t="s">
        <v>21</v>
      </c>
      <c r="E181" t="s">
        <v>22</v>
      </c>
      <c r="F181" t="s">
        <v>24</v>
      </c>
      <c r="G181" t="s">
        <v>112</v>
      </c>
      <c r="H181">
        <v>1</v>
      </c>
      <c r="I181" t="str">
        <f>_xlfn.XLOOKUP(tbl_Students[[#This Row],[school_id]],tbl_Schools[school_id],tbl_Schools[school_name],"Unknown")</f>
        <v>Gabriel Pereira</v>
      </c>
      <c r="J181" t="str">
        <f t="shared" si="2"/>
        <v>17-18</v>
      </c>
    </row>
    <row r="182" spans="1:10" x14ac:dyDescent="0.35">
      <c r="A182">
        <v>181</v>
      </c>
      <c r="B182" t="s">
        <v>26</v>
      </c>
      <c r="C182">
        <v>16</v>
      </c>
      <c r="D182" t="s">
        <v>21</v>
      </c>
      <c r="E182" t="s">
        <v>22</v>
      </c>
      <c r="F182" t="s">
        <v>24</v>
      </c>
      <c r="G182" t="s">
        <v>112</v>
      </c>
      <c r="H182">
        <v>1</v>
      </c>
      <c r="I182" t="str">
        <f>_xlfn.XLOOKUP(tbl_Students[[#This Row],[school_id]],tbl_Schools[school_id],tbl_Schools[school_name],"Unknown")</f>
        <v>Gabriel Pereira</v>
      </c>
      <c r="J182" t="str">
        <f t="shared" si="2"/>
        <v>15-16</v>
      </c>
    </row>
    <row r="183" spans="1:10" x14ac:dyDescent="0.35">
      <c r="A183">
        <v>182</v>
      </c>
      <c r="B183" t="s">
        <v>26</v>
      </c>
      <c r="C183">
        <v>16</v>
      </c>
      <c r="D183" t="s">
        <v>21</v>
      </c>
      <c r="E183" t="s">
        <v>22</v>
      </c>
      <c r="F183" t="s">
        <v>24</v>
      </c>
      <c r="G183" t="s">
        <v>112</v>
      </c>
      <c r="H183">
        <v>1</v>
      </c>
      <c r="I183" t="str">
        <f>_xlfn.XLOOKUP(tbl_Students[[#This Row],[school_id]],tbl_Schools[school_id],tbl_Schools[school_name],"Unknown")</f>
        <v>Gabriel Pereira</v>
      </c>
      <c r="J183" t="str">
        <f t="shared" si="2"/>
        <v>15-16</v>
      </c>
    </row>
    <row r="184" spans="1:10" x14ac:dyDescent="0.35">
      <c r="A184">
        <v>183</v>
      </c>
      <c r="B184" t="s">
        <v>20</v>
      </c>
      <c r="C184">
        <v>17</v>
      </c>
      <c r="D184" t="s">
        <v>21</v>
      </c>
      <c r="E184" t="s">
        <v>22</v>
      </c>
      <c r="F184" t="s">
        <v>24</v>
      </c>
      <c r="G184" t="s">
        <v>113</v>
      </c>
      <c r="H184">
        <v>1</v>
      </c>
      <c r="I184" t="str">
        <f>_xlfn.XLOOKUP(tbl_Students[[#This Row],[school_id]],tbl_Schools[school_id],tbl_Schools[school_name],"Unknown")</f>
        <v>Gabriel Pereira</v>
      </c>
      <c r="J184" t="str">
        <f t="shared" si="2"/>
        <v>17-18</v>
      </c>
    </row>
    <row r="185" spans="1:10" x14ac:dyDescent="0.35">
      <c r="A185">
        <v>184</v>
      </c>
      <c r="B185" t="s">
        <v>20</v>
      </c>
      <c r="C185">
        <v>17</v>
      </c>
      <c r="D185" t="s">
        <v>21</v>
      </c>
      <c r="E185" t="s">
        <v>25</v>
      </c>
      <c r="F185" t="s">
        <v>24</v>
      </c>
      <c r="G185" t="s">
        <v>112</v>
      </c>
      <c r="H185">
        <v>1</v>
      </c>
      <c r="I185" t="str">
        <f>_xlfn.XLOOKUP(tbl_Students[[#This Row],[school_id]],tbl_Schools[school_id],tbl_Schools[school_name],"Unknown")</f>
        <v>Gabriel Pereira</v>
      </c>
      <c r="J185" t="str">
        <f t="shared" si="2"/>
        <v>17-18</v>
      </c>
    </row>
    <row r="186" spans="1:10" x14ac:dyDescent="0.35">
      <c r="A186">
        <v>185</v>
      </c>
      <c r="B186" t="s">
        <v>20</v>
      </c>
      <c r="C186">
        <v>16</v>
      </c>
      <c r="D186" t="s">
        <v>21</v>
      </c>
      <c r="E186" t="s">
        <v>22</v>
      </c>
      <c r="F186" t="s">
        <v>24</v>
      </c>
      <c r="G186" t="s">
        <v>112</v>
      </c>
      <c r="H186">
        <v>1</v>
      </c>
      <c r="I186" t="str">
        <f>_xlfn.XLOOKUP(tbl_Students[[#This Row],[school_id]],tbl_Schools[school_id],tbl_Schools[school_name],"Unknown")</f>
        <v>Gabriel Pereira</v>
      </c>
      <c r="J186" t="str">
        <f t="shared" si="2"/>
        <v>15-16</v>
      </c>
    </row>
    <row r="187" spans="1:10" x14ac:dyDescent="0.35">
      <c r="A187">
        <v>186</v>
      </c>
      <c r="B187" t="s">
        <v>26</v>
      </c>
      <c r="C187">
        <v>17</v>
      </c>
      <c r="D187" t="s">
        <v>21</v>
      </c>
      <c r="E187" t="s">
        <v>22</v>
      </c>
      <c r="F187" t="s">
        <v>24</v>
      </c>
      <c r="G187" t="s">
        <v>112</v>
      </c>
      <c r="H187">
        <v>1</v>
      </c>
      <c r="I187" t="str">
        <f>_xlfn.XLOOKUP(tbl_Students[[#This Row],[school_id]],tbl_Schools[school_id],tbl_Schools[school_name],"Unknown")</f>
        <v>Gabriel Pereira</v>
      </c>
      <c r="J187" t="str">
        <f t="shared" si="2"/>
        <v>17-18</v>
      </c>
    </row>
    <row r="188" spans="1:10" x14ac:dyDescent="0.35">
      <c r="A188">
        <v>187</v>
      </c>
      <c r="B188" t="s">
        <v>26</v>
      </c>
      <c r="C188">
        <v>16</v>
      </c>
      <c r="D188" t="s">
        <v>21</v>
      </c>
      <c r="E188" t="s">
        <v>22</v>
      </c>
      <c r="F188" t="s">
        <v>24</v>
      </c>
      <c r="G188" t="s">
        <v>112</v>
      </c>
      <c r="H188">
        <v>1</v>
      </c>
      <c r="I188" t="str">
        <f>_xlfn.XLOOKUP(tbl_Students[[#This Row],[school_id]],tbl_Schools[school_id],tbl_Schools[school_name],"Unknown")</f>
        <v>Gabriel Pereira</v>
      </c>
      <c r="J188" t="str">
        <f t="shared" si="2"/>
        <v>15-16</v>
      </c>
    </row>
    <row r="189" spans="1:10" x14ac:dyDescent="0.35">
      <c r="A189">
        <v>188</v>
      </c>
      <c r="B189" t="s">
        <v>26</v>
      </c>
      <c r="C189">
        <v>16</v>
      </c>
      <c r="D189" t="s">
        <v>21</v>
      </c>
      <c r="E189" t="s">
        <v>25</v>
      </c>
      <c r="F189" t="s">
        <v>24</v>
      </c>
      <c r="G189" t="s">
        <v>112</v>
      </c>
      <c r="H189">
        <v>1</v>
      </c>
      <c r="I189" t="str">
        <f>_xlfn.XLOOKUP(tbl_Students[[#This Row],[school_id]],tbl_Schools[school_id],tbl_Schools[school_name],"Unknown")</f>
        <v>Gabriel Pereira</v>
      </c>
      <c r="J189" t="str">
        <f t="shared" si="2"/>
        <v>15-16</v>
      </c>
    </row>
    <row r="190" spans="1:10" x14ac:dyDescent="0.35">
      <c r="A190">
        <v>189</v>
      </c>
      <c r="B190" t="s">
        <v>20</v>
      </c>
      <c r="C190">
        <v>17</v>
      </c>
      <c r="D190" t="s">
        <v>21</v>
      </c>
      <c r="E190" t="s">
        <v>22</v>
      </c>
      <c r="F190" t="s">
        <v>23</v>
      </c>
      <c r="G190" t="s">
        <v>112</v>
      </c>
      <c r="H190">
        <v>1</v>
      </c>
      <c r="I190" t="str">
        <f>_xlfn.XLOOKUP(tbl_Students[[#This Row],[school_id]],tbl_Schools[school_id],tbl_Schools[school_name],"Unknown")</f>
        <v>Gabriel Pereira</v>
      </c>
      <c r="J190" t="str">
        <f t="shared" si="2"/>
        <v>17-18</v>
      </c>
    </row>
    <row r="191" spans="1:10" x14ac:dyDescent="0.35">
      <c r="A191">
        <v>190</v>
      </c>
      <c r="B191" t="s">
        <v>26</v>
      </c>
      <c r="C191">
        <v>17</v>
      </c>
      <c r="D191" t="s">
        <v>28</v>
      </c>
      <c r="E191" t="s">
        <v>22</v>
      </c>
      <c r="F191" t="s">
        <v>24</v>
      </c>
      <c r="G191" t="s">
        <v>112</v>
      </c>
      <c r="H191">
        <v>1</v>
      </c>
      <c r="I191" t="str">
        <f>_xlfn.XLOOKUP(tbl_Students[[#This Row],[school_id]],tbl_Schools[school_id],tbl_Schools[school_name],"Unknown")</f>
        <v>Gabriel Pereira</v>
      </c>
      <c r="J191" t="str">
        <f t="shared" si="2"/>
        <v>17-18</v>
      </c>
    </row>
    <row r="192" spans="1:10" x14ac:dyDescent="0.35">
      <c r="A192">
        <v>191</v>
      </c>
      <c r="B192" t="s">
        <v>20</v>
      </c>
      <c r="C192">
        <v>16</v>
      </c>
      <c r="D192" t="s">
        <v>21</v>
      </c>
      <c r="E192" t="s">
        <v>22</v>
      </c>
      <c r="F192" t="s">
        <v>24</v>
      </c>
      <c r="G192" t="s">
        <v>112</v>
      </c>
      <c r="H192">
        <v>1</v>
      </c>
      <c r="I192" t="str">
        <f>_xlfn.XLOOKUP(tbl_Students[[#This Row],[school_id]],tbl_Schools[school_id],tbl_Schools[school_name],"Unknown")</f>
        <v>Gabriel Pereira</v>
      </c>
      <c r="J192" t="str">
        <f t="shared" si="2"/>
        <v>15-16</v>
      </c>
    </row>
    <row r="193" spans="1:10" x14ac:dyDescent="0.35">
      <c r="A193">
        <v>192</v>
      </c>
      <c r="B193" t="s">
        <v>20</v>
      </c>
      <c r="C193">
        <v>17</v>
      </c>
      <c r="D193" t="s">
        <v>21</v>
      </c>
      <c r="E193" t="s">
        <v>22</v>
      </c>
      <c r="F193" t="s">
        <v>24</v>
      </c>
      <c r="G193" t="s">
        <v>112</v>
      </c>
      <c r="H193">
        <v>1</v>
      </c>
      <c r="I193" t="str">
        <f>_xlfn.XLOOKUP(tbl_Students[[#This Row],[school_id]],tbl_Schools[school_id],tbl_Schools[school_name],"Unknown")</f>
        <v>Gabriel Pereira</v>
      </c>
      <c r="J193" t="str">
        <f t="shared" si="2"/>
        <v>17-18</v>
      </c>
    </row>
    <row r="194" spans="1:10" x14ac:dyDescent="0.35">
      <c r="A194">
        <v>193</v>
      </c>
      <c r="B194" t="s">
        <v>26</v>
      </c>
      <c r="C194">
        <v>17</v>
      </c>
      <c r="D194" t="s">
        <v>21</v>
      </c>
      <c r="E194" t="s">
        <v>22</v>
      </c>
      <c r="F194" t="s">
        <v>24</v>
      </c>
      <c r="G194" t="s">
        <v>27</v>
      </c>
      <c r="H194">
        <v>1</v>
      </c>
      <c r="I194" t="str">
        <f>_xlfn.XLOOKUP(tbl_Students[[#This Row],[school_id]],tbl_Schools[school_id],tbl_Schools[school_name],"Unknown")</f>
        <v>Gabriel Pereira</v>
      </c>
      <c r="J194" t="str">
        <f t="shared" ref="J194:J257" si="3">IF(C194&lt;=16,"15-16",IF(C194&lt;=18,"17-18",IF(C194&lt;=20,"19-20","21-22")))</f>
        <v>17-18</v>
      </c>
    </row>
    <row r="195" spans="1:10" x14ac:dyDescent="0.35">
      <c r="A195">
        <v>194</v>
      </c>
      <c r="B195" t="s">
        <v>26</v>
      </c>
      <c r="C195">
        <v>16</v>
      </c>
      <c r="D195" t="s">
        <v>28</v>
      </c>
      <c r="E195" t="s">
        <v>22</v>
      </c>
      <c r="F195" t="s">
        <v>24</v>
      </c>
      <c r="G195" t="s">
        <v>112</v>
      </c>
      <c r="H195">
        <v>1</v>
      </c>
      <c r="I195" t="str">
        <f>_xlfn.XLOOKUP(tbl_Students[[#This Row],[school_id]],tbl_Schools[school_id],tbl_Schools[school_name],"Unknown")</f>
        <v>Gabriel Pereira</v>
      </c>
      <c r="J195" t="str">
        <f t="shared" si="3"/>
        <v>15-16</v>
      </c>
    </row>
    <row r="196" spans="1:10" x14ac:dyDescent="0.35">
      <c r="A196">
        <v>195</v>
      </c>
      <c r="B196" t="s">
        <v>26</v>
      </c>
      <c r="C196">
        <v>16</v>
      </c>
      <c r="D196" t="s">
        <v>21</v>
      </c>
      <c r="E196" t="s">
        <v>22</v>
      </c>
      <c r="F196" t="s">
        <v>24</v>
      </c>
      <c r="G196" t="s">
        <v>113</v>
      </c>
      <c r="H196">
        <v>1</v>
      </c>
      <c r="I196" t="str">
        <f>_xlfn.XLOOKUP(tbl_Students[[#This Row],[school_id]],tbl_Schools[school_id],tbl_Schools[school_name],"Unknown")</f>
        <v>Gabriel Pereira</v>
      </c>
      <c r="J196" t="str">
        <f t="shared" si="3"/>
        <v>15-16</v>
      </c>
    </row>
    <row r="197" spans="1:10" x14ac:dyDescent="0.35">
      <c r="A197">
        <v>196</v>
      </c>
      <c r="B197" t="s">
        <v>20</v>
      </c>
      <c r="C197">
        <v>17</v>
      </c>
      <c r="D197" t="s">
        <v>21</v>
      </c>
      <c r="E197" t="s">
        <v>25</v>
      </c>
      <c r="F197" t="s">
        <v>24</v>
      </c>
      <c r="G197" t="s">
        <v>113</v>
      </c>
      <c r="H197">
        <v>1</v>
      </c>
      <c r="I197" t="str">
        <f>_xlfn.XLOOKUP(tbl_Students[[#This Row],[school_id]],tbl_Schools[school_id],tbl_Schools[school_name],"Unknown")</f>
        <v>Gabriel Pereira</v>
      </c>
      <c r="J197" t="str">
        <f t="shared" si="3"/>
        <v>17-18</v>
      </c>
    </row>
    <row r="198" spans="1:10" x14ac:dyDescent="0.35">
      <c r="A198">
        <v>197</v>
      </c>
      <c r="B198" t="s">
        <v>26</v>
      </c>
      <c r="C198">
        <v>17</v>
      </c>
      <c r="D198" t="s">
        <v>21</v>
      </c>
      <c r="E198" t="s">
        <v>22</v>
      </c>
      <c r="F198" t="s">
        <v>24</v>
      </c>
      <c r="G198" t="s">
        <v>112</v>
      </c>
      <c r="H198">
        <v>1</v>
      </c>
      <c r="I198" t="str">
        <f>_xlfn.XLOOKUP(tbl_Students[[#This Row],[school_id]],tbl_Schools[school_id],tbl_Schools[school_name],"Unknown")</f>
        <v>Gabriel Pereira</v>
      </c>
      <c r="J198" t="str">
        <f t="shared" si="3"/>
        <v>17-18</v>
      </c>
    </row>
    <row r="199" spans="1:10" x14ac:dyDescent="0.35">
      <c r="A199">
        <v>198</v>
      </c>
      <c r="B199" t="s">
        <v>26</v>
      </c>
      <c r="C199">
        <v>16</v>
      </c>
      <c r="D199" t="s">
        <v>28</v>
      </c>
      <c r="E199" t="s">
        <v>25</v>
      </c>
      <c r="F199" t="s">
        <v>24</v>
      </c>
      <c r="G199" t="s">
        <v>113</v>
      </c>
      <c r="H199">
        <v>1</v>
      </c>
      <c r="I199" t="str">
        <f>_xlfn.XLOOKUP(tbl_Students[[#This Row],[school_id]],tbl_Schools[school_id],tbl_Schools[school_name],"Unknown")</f>
        <v>Gabriel Pereira</v>
      </c>
      <c r="J199" t="str">
        <f t="shared" si="3"/>
        <v>15-16</v>
      </c>
    </row>
    <row r="200" spans="1:10" x14ac:dyDescent="0.35">
      <c r="A200">
        <v>199</v>
      </c>
      <c r="B200" t="s">
        <v>20</v>
      </c>
      <c r="C200">
        <v>17</v>
      </c>
      <c r="D200" t="s">
        <v>21</v>
      </c>
      <c r="E200" t="s">
        <v>22</v>
      </c>
      <c r="F200" t="s">
        <v>24</v>
      </c>
      <c r="G200" t="s">
        <v>112</v>
      </c>
      <c r="H200">
        <v>1</v>
      </c>
      <c r="I200" t="str">
        <f>_xlfn.XLOOKUP(tbl_Students[[#This Row],[school_id]],tbl_Schools[school_id],tbl_Schools[school_name],"Unknown")</f>
        <v>Gabriel Pereira</v>
      </c>
      <c r="J200" t="str">
        <f t="shared" si="3"/>
        <v>17-18</v>
      </c>
    </row>
    <row r="201" spans="1:10" x14ac:dyDescent="0.35">
      <c r="A201">
        <v>200</v>
      </c>
      <c r="B201" t="s">
        <v>20</v>
      </c>
      <c r="C201">
        <v>16</v>
      </c>
      <c r="D201" t="s">
        <v>21</v>
      </c>
      <c r="E201" t="s">
        <v>25</v>
      </c>
      <c r="F201" t="s">
        <v>24</v>
      </c>
      <c r="G201" t="s">
        <v>112</v>
      </c>
      <c r="H201">
        <v>1</v>
      </c>
      <c r="I201" t="str">
        <f>_xlfn.XLOOKUP(tbl_Students[[#This Row],[school_id]],tbl_Schools[school_id],tbl_Schools[school_name],"Unknown")</f>
        <v>Gabriel Pereira</v>
      </c>
      <c r="J201" t="str">
        <f t="shared" si="3"/>
        <v>15-16</v>
      </c>
    </row>
    <row r="202" spans="1:10" x14ac:dyDescent="0.35">
      <c r="A202">
        <v>201</v>
      </c>
      <c r="B202" t="s">
        <v>20</v>
      </c>
      <c r="C202">
        <v>16</v>
      </c>
      <c r="D202" t="s">
        <v>21</v>
      </c>
      <c r="E202" t="s">
        <v>22</v>
      </c>
      <c r="F202" t="s">
        <v>24</v>
      </c>
      <c r="G202" t="s">
        <v>112</v>
      </c>
      <c r="H202">
        <v>1</v>
      </c>
      <c r="I202" t="str">
        <f>_xlfn.XLOOKUP(tbl_Students[[#This Row],[school_id]],tbl_Schools[school_id],tbl_Schools[school_name],"Unknown")</f>
        <v>Gabriel Pereira</v>
      </c>
      <c r="J202" t="str">
        <f t="shared" si="3"/>
        <v>15-16</v>
      </c>
    </row>
    <row r="203" spans="1:10" x14ac:dyDescent="0.35">
      <c r="A203">
        <v>202</v>
      </c>
      <c r="B203" t="s">
        <v>20</v>
      </c>
      <c r="C203">
        <v>16</v>
      </c>
      <c r="D203" t="s">
        <v>21</v>
      </c>
      <c r="E203" t="s">
        <v>22</v>
      </c>
      <c r="F203" t="s">
        <v>24</v>
      </c>
      <c r="G203" t="s">
        <v>112</v>
      </c>
      <c r="H203">
        <v>1</v>
      </c>
      <c r="I203" t="str">
        <f>_xlfn.XLOOKUP(tbl_Students[[#This Row],[school_id]],tbl_Schools[school_id],tbl_Schools[school_name],"Unknown")</f>
        <v>Gabriel Pereira</v>
      </c>
      <c r="J203" t="str">
        <f t="shared" si="3"/>
        <v>15-16</v>
      </c>
    </row>
    <row r="204" spans="1:10" x14ac:dyDescent="0.35">
      <c r="A204">
        <v>203</v>
      </c>
      <c r="B204" t="s">
        <v>20</v>
      </c>
      <c r="C204">
        <v>17</v>
      </c>
      <c r="D204" t="s">
        <v>21</v>
      </c>
      <c r="E204" t="s">
        <v>22</v>
      </c>
      <c r="F204" t="s">
        <v>24</v>
      </c>
      <c r="G204" t="s">
        <v>112</v>
      </c>
      <c r="H204">
        <v>1</v>
      </c>
      <c r="I204" t="str">
        <f>_xlfn.XLOOKUP(tbl_Students[[#This Row],[school_id]],tbl_Schools[school_id],tbl_Schools[school_name],"Unknown")</f>
        <v>Gabriel Pereira</v>
      </c>
      <c r="J204" t="str">
        <f t="shared" si="3"/>
        <v>17-18</v>
      </c>
    </row>
    <row r="205" spans="1:10" x14ac:dyDescent="0.35">
      <c r="A205">
        <v>204</v>
      </c>
      <c r="B205" t="s">
        <v>20</v>
      </c>
      <c r="C205">
        <v>17</v>
      </c>
      <c r="D205" t="s">
        <v>28</v>
      </c>
      <c r="E205" t="s">
        <v>22</v>
      </c>
      <c r="F205" t="s">
        <v>24</v>
      </c>
      <c r="G205" t="s">
        <v>112</v>
      </c>
      <c r="H205">
        <v>1</v>
      </c>
      <c r="I205" t="str">
        <f>_xlfn.XLOOKUP(tbl_Students[[#This Row],[school_id]],tbl_Schools[school_id],tbl_Schools[school_name],"Unknown")</f>
        <v>Gabriel Pereira</v>
      </c>
      <c r="J205" t="str">
        <f t="shared" si="3"/>
        <v>17-18</v>
      </c>
    </row>
    <row r="206" spans="1:10" x14ac:dyDescent="0.35">
      <c r="A206">
        <v>205</v>
      </c>
      <c r="B206" t="s">
        <v>20</v>
      </c>
      <c r="C206">
        <v>16</v>
      </c>
      <c r="D206" t="s">
        <v>28</v>
      </c>
      <c r="E206" t="s">
        <v>22</v>
      </c>
      <c r="F206" t="s">
        <v>24</v>
      </c>
      <c r="G206" t="s">
        <v>112</v>
      </c>
      <c r="H206">
        <v>1</v>
      </c>
      <c r="I206" t="str">
        <f>_xlfn.XLOOKUP(tbl_Students[[#This Row],[school_id]],tbl_Schools[school_id],tbl_Schools[school_name],"Unknown")</f>
        <v>Gabriel Pereira</v>
      </c>
      <c r="J206" t="str">
        <f t="shared" si="3"/>
        <v>15-16</v>
      </c>
    </row>
    <row r="207" spans="1:10" x14ac:dyDescent="0.35">
      <c r="A207">
        <v>206</v>
      </c>
      <c r="B207" t="s">
        <v>20</v>
      </c>
      <c r="C207">
        <v>17</v>
      </c>
      <c r="D207" t="s">
        <v>21</v>
      </c>
      <c r="E207" t="s">
        <v>22</v>
      </c>
      <c r="F207" t="s">
        <v>24</v>
      </c>
      <c r="G207" t="s">
        <v>112</v>
      </c>
      <c r="H207">
        <v>1</v>
      </c>
      <c r="I207" t="str">
        <f>_xlfn.XLOOKUP(tbl_Students[[#This Row],[school_id]],tbl_Schools[school_id],tbl_Schools[school_name],"Unknown")</f>
        <v>Gabriel Pereira</v>
      </c>
      <c r="J207" t="str">
        <f t="shared" si="3"/>
        <v>17-18</v>
      </c>
    </row>
    <row r="208" spans="1:10" x14ac:dyDescent="0.35">
      <c r="A208">
        <v>207</v>
      </c>
      <c r="B208" t="s">
        <v>20</v>
      </c>
      <c r="C208">
        <v>16</v>
      </c>
      <c r="D208" t="s">
        <v>21</v>
      </c>
      <c r="E208" t="s">
        <v>22</v>
      </c>
      <c r="F208" t="s">
        <v>23</v>
      </c>
      <c r="G208" t="s">
        <v>112</v>
      </c>
      <c r="H208">
        <v>1</v>
      </c>
      <c r="I208" t="str">
        <f>_xlfn.XLOOKUP(tbl_Students[[#This Row],[school_id]],tbl_Schools[school_id],tbl_Schools[school_name],"Unknown")</f>
        <v>Gabriel Pereira</v>
      </c>
      <c r="J208" t="str">
        <f t="shared" si="3"/>
        <v>15-16</v>
      </c>
    </row>
    <row r="209" spans="1:10" x14ac:dyDescent="0.35">
      <c r="A209">
        <v>208</v>
      </c>
      <c r="B209" t="s">
        <v>20</v>
      </c>
      <c r="C209">
        <v>16</v>
      </c>
      <c r="D209" t="s">
        <v>21</v>
      </c>
      <c r="E209" t="s">
        <v>22</v>
      </c>
      <c r="F209" t="s">
        <v>24</v>
      </c>
      <c r="G209" t="s">
        <v>112</v>
      </c>
      <c r="H209">
        <v>1</v>
      </c>
      <c r="I209" t="str">
        <f>_xlfn.XLOOKUP(tbl_Students[[#This Row],[school_id]],tbl_Schools[school_id],tbl_Schools[school_name],"Unknown")</f>
        <v>Gabriel Pereira</v>
      </c>
      <c r="J209" t="str">
        <f t="shared" si="3"/>
        <v>15-16</v>
      </c>
    </row>
    <row r="210" spans="1:10" x14ac:dyDescent="0.35">
      <c r="A210">
        <v>209</v>
      </c>
      <c r="B210" t="s">
        <v>20</v>
      </c>
      <c r="C210">
        <v>16</v>
      </c>
      <c r="D210" t="s">
        <v>21</v>
      </c>
      <c r="E210" t="s">
        <v>22</v>
      </c>
      <c r="F210" t="s">
        <v>24</v>
      </c>
      <c r="G210" t="s">
        <v>112</v>
      </c>
      <c r="H210">
        <v>1</v>
      </c>
      <c r="I210" t="str">
        <f>_xlfn.XLOOKUP(tbl_Students[[#This Row],[school_id]],tbl_Schools[school_id],tbl_Schools[school_name],"Unknown")</f>
        <v>Gabriel Pereira</v>
      </c>
      <c r="J210" t="str">
        <f t="shared" si="3"/>
        <v>15-16</v>
      </c>
    </row>
    <row r="211" spans="1:10" x14ac:dyDescent="0.35">
      <c r="A211">
        <v>210</v>
      </c>
      <c r="B211" t="s">
        <v>20</v>
      </c>
      <c r="C211">
        <v>17</v>
      </c>
      <c r="D211" t="s">
        <v>28</v>
      </c>
      <c r="E211" t="s">
        <v>22</v>
      </c>
      <c r="F211" t="s">
        <v>24</v>
      </c>
      <c r="G211" t="s">
        <v>112</v>
      </c>
      <c r="H211">
        <v>1</v>
      </c>
      <c r="I211" t="str">
        <f>_xlfn.XLOOKUP(tbl_Students[[#This Row],[school_id]],tbl_Schools[school_id],tbl_Schools[school_name],"Unknown")</f>
        <v>Gabriel Pereira</v>
      </c>
      <c r="J211" t="str">
        <f t="shared" si="3"/>
        <v>17-18</v>
      </c>
    </row>
    <row r="212" spans="1:10" x14ac:dyDescent="0.35">
      <c r="A212">
        <v>211</v>
      </c>
      <c r="B212" t="s">
        <v>20</v>
      </c>
      <c r="C212">
        <v>19</v>
      </c>
      <c r="D212" t="s">
        <v>21</v>
      </c>
      <c r="E212" t="s">
        <v>22</v>
      </c>
      <c r="F212" t="s">
        <v>24</v>
      </c>
      <c r="G212" t="s">
        <v>27</v>
      </c>
      <c r="H212">
        <v>1</v>
      </c>
      <c r="I212" t="str">
        <f>_xlfn.XLOOKUP(tbl_Students[[#This Row],[school_id]],tbl_Schools[school_id],tbl_Schools[school_name],"Unknown")</f>
        <v>Gabriel Pereira</v>
      </c>
      <c r="J212" t="str">
        <f t="shared" si="3"/>
        <v>19-20</v>
      </c>
    </row>
    <row r="213" spans="1:10" x14ac:dyDescent="0.35">
      <c r="A213">
        <v>212</v>
      </c>
      <c r="B213" t="s">
        <v>26</v>
      </c>
      <c r="C213">
        <v>17</v>
      </c>
      <c r="D213" t="s">
        <v>21</v>
      </c>
      <c r="E213" t="s">
        <v>25</v>
      </c>
      <c r="F213" t="s">
        <v>24</v>
      </c>
      <c r="G213" t="s">
        <v>112</v>
      </c>
      <c r="H213">
        <v>1</v>
      </c>
      <c r="I213" t="str">
        <f>_xlfn.XLOOKUP(tbl_Students[[#This Row],[school_id]],tbl_Schools[school_id],tbl_Schools[school_name],"Unknown")</f>
        <v>Gabriel Pereira</v>
      </c>
      <c r="J213" t="str">
        <f t="shared" si="3"/>
        <v>17-18</v>
      </c>
    </row>
    <row r="214" spans="1:10" x14ac:dyDescent="0.35">
      <c r="A214">
        <v>213</v>
      </c>
      <c r="B214" t="s">
        <v>20</v>
      </c>
      <c r="C214">
        <v>16</v>
      </c>
      <c r="D214" t="s">
        <v>21</v>
      </c>
      <c r="E214" t="s">
        <v>22</v>
      </c>
      <c r="F214" t="s">
        <v>23</v>
      </c>
      <c r="G214" t="s">
        <v>112</v>
      </c>
      <c r="H214">
        <v>1</v>
      </c>
      <c r="I214" t="str">
        <f>_xlfn.XLOOKUP(tbl_Students[[#This Row],[school_id]],tbl_Schools[school_id],tbl_Schools[school_name],"Unknown")</f>
        <v>Gabriel Pereira</v>
      </c>
      <c r="J214" t="str">
        <f t="shared" si="3"/>
        <v>15-16</v>
      </c>
    </row>
    <row r="215" spans="1:10" x14ac:dyDescent="0.35">
      <c r="A215">
        <v>214</v>
      </c>
      <c r="B215" t="s">
        <v>26</v>
      </c>
      <c r="C215">
        <v>18</v>
      </c>
      <c r="D215" t="s">
        <v>21</v>
      </c>
      <c r="E215" t="s">
        <v>22</v>
      </c>
      <c r="F215" t="s">
        <v>24</v>
      </c>
      <c r="G215" t="s">
        <v>112</v>
      </c>
      <c r="H215">
        <v>1</v>
      </c>
      <c r="I215" t="str">
        <f>_xlfn.XLOOKUP(tbl_Students[[#This Row],[school_id]],tbl_Schools[school_id],tbl_Schools[school_name],"Unknown")</f>
        <v>Gabriel Pereira</v>
      </c>
      <c r="J215" t="str">
        <f t="shared" si="3"/>
        <v>17-18</v>
      </c>
    </row>
    <row r="216" spans="1:10" x14ac:dyDescent="0.35">
      <c r="A216">
        <v>215</v>
      </c>
      <c r="B216" t="s">
        <v>20</v>
      </c>
      <c r="C216">
        <v>17</v>
      </c>
      <c r="D216" t="s">
        <v>28</v>
      </c>
      <c r="E216" t="s">
        <v>25</v>
      </c>
      <c r="F216" t="s">
        <v>24</v>
      </c>
      <c r="G216" t="s">
        <v>112</v>
      </c>
      <c r="H216">
        <v>1</v>
      </c>
      <c r="I216" t="str">
        <f>_xlfn.XLOOKUP(tbl_Students[[#This Row],[school_id]],tbl_Schools[school_id],tbl_Schools[school_name],"Unknown")</f>
        <v>Gabriel Pereira</v>
      </c>
      <c r="J216" t="str">
        <f t="shared" si="3"/>
        <v>17-18</v>
      </c>
    </row>
    <row r="217" spans="1:10" x14ac:dyDescent="0.35">
      <c r="A217">
        <v>216</v>
      </c>
      <c r="B217" t="s">
        <v>20</v>
      </c>
      <c r="C217">
        <v>17</v>
      </c>
      <c r="D217" t="s">
        <v>21</v>
      </c>
      <c r="E217" t="s">
        <v>25</v>
      </c>
      <c r="F217" t="s">
        <v>24</v>
      </c>
      <c r="G217" t="s">
        <v>112</v>
      </c>
      <c r="H217">
        <v>1</v>
      </c>
      <c r="I217" t="str">
        <f>_xlfn.XLOOKUP(tbl_Students[[#This Row],[school_id]],tbl_Schools[school_id],tbl_Schools[school_name],"Unknown")</f>
        <v>Gabriel Pereira</v>
      </c>
      <c r="J217" t="str">
        <f t="shared" si="3"/>
        <v>17-18</v>
      </c>
    </row>
    <row r="218" spans="1:10" x14ac:dyDescent="0.35">
      <c r="A218">
        <v>217</v>
      </c>
      <c r="B218" t="s">
        <v>20</v>
      </c>
      <c r="C218">
        <v>17</v>
      </c>
      <c r="D218" t="s">
        <v>21</v>
      </c>
      <c r="E218" t="s">
        <v>22</v>
      </c>
      <c r="F218" t="s">
        <v>24</v>
      </c>
      <c r="G218" t="s">
        <v>112</v>
      </c>
      <c r="H218">
        <v>1</v>
      </c>
      <c r="I218" t="str">
        <f>_xlfn.XLOOKUP(tbl_Students[[#This Row],[school_id]],tbl_Schools[school_id],tbl_Schools[school_name],"Unknown")</f>
        <v>Gabriel Pereira</v>
      </c>
      <c r="J218" t="str">
        <f t="shared" si="3"/>
        <v>17-18</v>
      </c>
    </row>
    <row r="219" spans="1:10" x14ac:dyDescent="0.35">
      <c r="A219">
        <v>218</v>
      </c>
      <c r="B219" t="s">
        <v>26</v>
      </c>
      <c r="C219">
        <v>18</v>
      </c>
      <c r="D219" t="s">
        <v>21</v>
      </c>
      <c r="E219" t="s">
        <v>25</v>
      </c>
      <c r="F219" t="s">
        <v>24</v>
      </c>
      <c r="G219" t="s">
        <v>113</v>
      </c>
      <c r="H219">
        <v>1</v>
      </c>
      <c r="I219" t="str">
        <f>_xlfn.XLOOKUP(tbl_Students[[#This Row],[school_id]],tbl_Schools[school_id],tbl_Schools[school_name],"Unknown")</f>
        <v>Gabriel Pereira</v>
      </c>
      <c r="J219" t="str">
        <f t="shared" si="3"/>
        <v>17-18</v>
      </c>
    </row>
    <row r="220" spans="1:10" x14ac:dyDescent="0.35">
      <c r="A220">
        <v>219</v>
      </c>
      <c r="B220" t="s">
        <v>20</v>
      </c>
      <c r="C220">
        <v>17</v>
      </c>
      <c r="D220" t="s">
        <v>21</v>
      </c>
      <c r="E220" t="s">
        <v>22</v>
      </c>
      <c r="F220" t="s">
        <v>24</v>
      </c>
      <c r="G220" t="s">
        <v>113</v>
      </c>
      <c r="H220">
        <v>1</v>
      </c>
      <c r="I220" t="str">
        <f>_xlfn.XLOOKUP(tbl_Students[[#This Row],[school_id]],tbl_Schools[school_id],tbl_Schools[school_name],"Unknown")</f>
        <v>Gabriel Pereira</v>
      </c>
      <c r="J220" t="str">
        <f t="shared" si="3"/>
        <v>17-18</v>
      </c>
    </row>
    <row r="221" spans="1:10" x14ac:dyDescent="0.35">
      <c r="A221">
        <v>220</v>
      </c>
      <c r="B221" t="s">
        <v>20</v>
      </c>
      <c r="C221">
        <v>17</v>
      </c>
      <c r="D221" t="s">
        <v>21</v>
      </c>
      <c r="E221" t="s">
        <v>22</v>
      </c>
      <c r="F221" t="s">
        <v>24</v>
      </c>
      <c r="G221" t="s">
        <v>112</v>
      </c>
      <c r="H221">
        <v>1</v>
      </c>
      <c r="I221" t="str">
        <f>_xlfn.XLOOKUP(tbl_Students[[#This Row],[school_id]],tbl_Schools[school_id],tbl_Schools[school_name],"Unknown")</f>
        <v>Gabriel Pereira</v>
      </c>
      <c r="J221" t="str">
        <f t="shared" si="3"/>
        <v>17-18</v>
      </c>
    </row>
    <row r="222" spans="1:10" x14ac:dyDescent="0.35">
      <c r="A222">
        <v>221</v>
      </c>
      <c r="B222" t="s">
        <v>20</v>
      </c>
      <c r="C222">
        <v>17</v>
      </c>
      <c r="D222" t="s">
        <v>28</v>
      </c>
      <c r="E222" t="s">
        <v>22</v>
      </c>
      <c r="F222" t="s">
        <v>24</v>
      </c>
      <c r="G222" t="s">
        <v>112</v>
      </c>
      <c r="H222">
        <v>1</v>
      </c>
      <c r="I222" t="str">
        <f>_xlfn.XLOOKUP(tbl_Students[[#This Row],[school_id]],tbl_Schools[school_id],tbl_Schools[school_name],"Unknown")</f>
        <v>Gabriel Pereira</v>
      </c>
      <c r="J222" t="str">
        <f t="shared" si="3"/>
        <v>17-18</v>
      </c>
    </row>
    <row r="223" spans="1:10" x14ac:dyDescent="0.35">
      <c r="A223">
        <v>222</v>
      </c>
      <c r="B223" t="s">
        <v>20</v>
      </c>
      <c r="C223">
        <v>17</v>
      </c>
      <c r="D223" t="s">
        <v>21</v>
      </c>
      <c r="E223" t="s">
        <v>22</v>
      </c>
      <c r="F223" t="s">
        <v>24</v>
      </c>
      <c r="G223" t="s">
        <v>112</v>
      </c>
      <c r="H223">
        <v>1</v>
      </c>
      <c r="I223" t="str">
        <f>_xlfn.XLOOKUP(tbl_Students[[#This Row],[school_id]],tbl_Schools[school_id],tbl_Schools[school_name],"Unknown")</f>
        <v>Gabriel Pereira</v>
      </c>
      <c r="J223" t="str">
        <f t="shared" si="3"/>
        <v>17-18</v>
      </c>
    </row>
    <row r="224" spans="1:10" x14ac:dyDescent="0.35">
      <c r="A224">
        <v>223</v>
      </c>
      <c r="B224" t="s">
        <v>20</v>
      </c>
      <c r="C224">
        <v>16</v>
      </c>
      <c r="D224" t="s">
        <v>21</v>
      </c>
      <c r="E224" t="s">
        <v>22</v>
      </c>
      <c r="F224" t="s">
        <v>24</v>
      </c>
      <c r="G224" t="s">
        <v>112</v>
      </c>
      <c r="H224">
        <v>1</v>
      </c>
      <c r="I224" t="str">
        <f>_xlfn.XLOOKUP(tbl_Students[[#This Row],[school_id]],tbl_Schools[school_id],tbl_Schools[school_name],"Unknown")</f>
        <v>Gabriel Pereira</v>
      </c>
      <c r="J224" t="str">
        <f t="shared" si="3"/>
        <v>15-16</v>
      </c>
    </row>
    <row r="225" spans="1:10" x14ac:dyDescent="0.35">
      <c r="A225">
        <v>224</v>
      </c>
      <c r="B225" t="s">
        <v>26</v>
      </c>
      <c r="C225">
        <v>18</v>
      </c>
      <c r="D225" t="s">
        <v>21</v>
      </c>
      <c r="E225" t="s">
        <v>22</v>
      </c>
      <c r="F225" t="s">
        <v>24</v>
      </c>
      <c r="G225" t="s">
        <v>112</v>
      </c>
      <c r="H225">
        <v>1</v>
      </c>
      <c r="I225" t="str">
        <f>_xlfn.XLOOKUP(tbl_Students[[#This Row],[school_id]],tbl_Schools[school_id],tbl_Schools[school_name],"Unknown")</f>
        <v>Gabriel Pereira</v>
      </c>
      <c r="J225" t="str">
        <f t="shared" si="3"/>
        <v>17-18</v>
      </c>
    </row>
    <row r="226" spans="1:10" x14ac:dyDescent="0.35">
      <c r="A226">
        <v>225</v>
      </c>
      <c r="B226" t="s">
        <v>20</v>
      </c>
      <c r="C226">
        <v>16</v>
      </c>
      <c r="D226" t="s">
        <v>21</v>
      </c>
      <c r="E226" t="s">
        <v>22</v>
      </c>
      <c r="F226" t="s">
        <v>24</v>
      </c>
      <c r="G226" t="s">
        <v>112</v>
      </c>
      <c r="H226">
        <v>1</v>
      </c>
      <c r="I226" t="str">
        <f>_xlfn.XLOOKUP(tbl_Students[[#This Row],[school_id]],tbl_Schools[school_id],tbl_Schools[school_name],"Unknown")</f>
        <v>Gabriel Pereira</v>
      </c>
      <c r="J226" t="str">
        <f t="shared" si="3"/>
        <v>15-16</v>
      </c>
    </row>
    <row r="227" spans="1:10" x14ac:dyDescent="0.35">
      <c r="A227">
        <v>226</v>
      </c>
      <c r="B227" t="s">
        <v>20</v>
      </c>
      <c r="C227">
        <v>18</v>
      </c>
      <c r="D227" t="s">
        <v>28</v>
      </c>
      <c r="E227" t="s">
        <v>22</v>
      </c>
      <c r="F227" t="s">
        <v>24</v>
      </c>
      <c r="G227" t="s">
        <v>112</v>
      </c>
      <c r="H227">
        <v>1</v>
      </c>
      <c r="I227" t="str">
        <f>_xlfn.XLOOKUP(tbl_Students[[#This Row],[school_id]],tbl_Schools[school_id],tbl_Schools[school_name],"Unknown")</f>
        <v>Gabriel Pereira</v>
      </c>
      <c r="J227" t="str">
        <f t="shared" si="3"/>
        <v>17-18</v>
      </c>
    </row>
    <row r="228" spans="1:10" x14ac:dyDescent="0.35">
      <c r="A228">
        <v>227</v>
      </c>
      <c r="B228" t="s">
        <v>20</v>
      </c>
      <c r="C228">
        <v>17</v>
      </c>
      <c r="D228" t="s">
        <v>21</v>
      </c>
      <c r="E228" t="s">
        <v>22</v>
      </c>
      <c r="F228" t="s">
        <v>24</v>
      </c>
      <c r="G228" t="s">
        <v>112</v>
      </c>
      <c r="H228">
        <v>1</v>
      </c>
      <c r="I228" t="str">
        <f>_xlfn.XLOOKUP(tbl_Students[[#This Row],[school_id]],tbl_Schools[school_id],tbl_Schools[school_name],"Unknown")</f>
        <v>Gabriel Pereira</v>
      </c>
      <c r="J228" t="str">
        <f t="shared" si="3"/>
        <v>17-18</v>
      </c>
    </row>
    <row r="229" spans="1:10" x14ac:dyDescent="0.35">
      <c r="A229">
        <v>228</v>
      </c>
      <c r="B229" t="s">
        <v>26</v>
      </c>
      <c r="C229">
        <v>17</v>
      </c>
      <c r="D229" t="s">
        <v>21</v>
      </c>
      <c r="E229" t="s">
        <v>25</v>
      </c>
      <c r="F229" t="s">
        <v>24</v>
      </c>
      <c r="G229" t="s">
        <v>113</v>
      </c>
      <c r="H229">
        <v>1</v>
      </c>
      <c r="I229" t="str">
        <f>_xlfn.XLOOKUP(tbl_Students[[#This Row],[school_id]],tbl_Schools[school_id],tbl_Schools[school_name],"Unknown")</f>
        <v>Gabriel Pereira</v>
      </c>
      <c r="J229" t="str">
        <f t="shared" si="3"/>
        <v>17-18</v>
      </c>
    </row>
    <row r="230" spans="1:10" x14ac:dyDescent="0.35">
      <c r="A230">
        <v>229</v>
      </c>
      <c r="B230" t="s">
        <v>26</v>
      </c>
      <c r="C230">
        <v>18</v>
      </c>
      <c r="D230" t="s">
        <v>21</v>
      </c>
      <c r="E230" t="s">
        <v>25</v>
      </c>
      <c r="F230" t="s">
        <v>24</v>
      </c>
      <c r="G230" t="s">
        <v>112</v>
      </c>
      <c r="H230">
        <v>1</v>
      </c>
      <c r="I230" t="str">
        <f>_xlfn.XLOOKUP(tbl_Students[[#This Row],[school_id]],tbl_Schools[school_id],tbl_Schools[school_name],"Unknown")</f>
        <v>Gabriel Pereira</v>
      </c>
      <c r="J230" t="str">
        <f t="shared" si="3"/>
        <v>17-18</v>
      </c>
    </row>
    <row r="231" spans="1:10" x14ac:dyDescent="0.35">
      <c r="A231">
        <v>230</v>
      </c>
      <c r="B231" t="s">
        <v>20</v>
      </c>
      <c r="C231">
        <v>17</v>
      </c>
      <c r="D231" t="s">
        <v>21</v>
      </c>
      <c r="E231" t="s">
        <v>22</v>
      </c>
      <c r="F231" t="s">
        <v>23</v>
      </c>
      <c r="G231" t="s">
        <v>112</v>
      </c>
      <c r="H231">
        <v>1</v>
      </c>
      <c r="I231" t="str">
        <f>_xlfn.XLOOKUP(tbl_Students[[#This Row],[school_id]],tbl_Schools[school_id],tbl_Schools[school_name],"Unknown")</f>
        <v>Gabriel Pereira</v>
      </c>
      <c r="J231" t="str">
        <f t="shared" si="3"/>
        <v>17-18</v>
      </c>
    </row>
    <row r="232" spans="1:10" x14ac:dyDescent="0.35">
      <c r="A232">
        <v>231</v>
      </c>
      <c r="B232" t="s">
        <v>20</v>
      </c>
      <c r="C232">
        <v>17</v>
      </c>
      <c r="D232" t="s">
        <v>21</v>
      </c>
      <c r="E232" t="s">
        <v>25</v>
      </c>
      <c r="F232" t="s">
        <v>24</v>
      </c>
      <c r="G232" t="s">
        <v>113</v>
      </c>
      <c r="H232">
        <v>1</v>
      </c>
      <c r="I232" t="str">
        <f>_xlfn.XLOOKUP(tbl_Students[[#This Row],[school_id]],tbl_Schools[school_id],tbl_Schools[school_name],"Unknown")</f>
        <v>Gabriel Pereira</v>
      </c>
      <c r="J232" t="str">
        <f t="shared" si="3"/>
        <v>17-18</v>
      </c>
    </row>
    <row r="233" spans="1:10" x14ac:dyDescent="0.35">
      <c r="A233">
        <v>232</v>
      </c>
      <c r="B233" t="s">
        <v>26</v>
      </c>
      <c r="C233">
        <v>17</v>
      </c>
      <c r="D233" t="s">
        <v>28</v>
      </c>
      <c r="E233" t="s">
        <v>22</v>
      </c>
      <c r="F233" t="s">
        <v>24</v>
      </c>
      <c r="G233" t="s">
        <v>113</v>
      </c>
      <c r="H233">
        <v>1</v>
      </c>
      <c r="I233" t="str">
        <f>_xlfn.XLOOKUP(tbl_Students[[#This Row],[school_id]],tbl_Schools[school_id],tbl_Schools[school_name],"Unknown")</f>
        <v>Gabriel Pereira</v>
      </c>
      <c r="J233" t="str">
        <f t="shared" si="3"/>
        <v>17-18</v>
      </c>
    </row>
    <row r="234" spans="1:10" x14ac:dyDescent="0.35">
      <c r="A234">
        <v>233</v>
      </c>
      <c r="B234" t="s">
        <v>26</v>
      </c>
      <c r="C234">
        <v>17</v>
      </c>
      <c r="D234" t="s">
        <v>21</v>
      </c>
      <c r="E234" t="s">
        <v>22</v>
      </c>
      <c r="F234" t="s">
        <v>24</v>
      </c>
      <c r="G234" t="s">
        <v>112</v>
      </c>
      <c r="H234">
        <v>1</v>
      </c>
      <c r="I234" t="str">
        <f>_xlfn.XLOOKUP(tbl_Students[[#This Row],[school_id]],tbl_Schools[school_id],tbl_Schools[school_name],"Unknown")</f>
        <v>Gabriel Pereira</v>
      </c>
      <c r="J234" t="str">
        <f t="shared" si="3"/>
        <v>17-18</v>
      </c>
    </row>
    <row r="235" spans="1:10" x14ac:dyDescent="0.35">
      <c r="A235">
        <v>234</v>
      </c>
      <c r="B235" t="s">
        <v>26</v>
      </c>
      <c r="C235">
        <v>16</v>
      </c>
      <c r="D235" t="s">
        <v>21</v>
      </c>
      <c r="E235" t="s">
        <v>22</v>
      </c>
      <c r="F235" t="s">
        <v>24</v>
      </c>
      <c r="G235" t="s">
        <v>113</v>
      </c>
      <c r="H235">
        <v>1</v>
      </c>
      <c r="I235" t="str">
        <f>_xlfn.XLOOKUP(tbl_Students[[#This Row],[school_id]],tbl_Schools[school_id],tbl_Schools[school_name],"Unknown")</f>
        <v>Gabriel Pereira</v>
      </c>
      <c r="J235" t="str">
        <f t="shared" si="3"/>
        <v>15-16</v>
      </c>
    </row>
    <row r="236" spans="1:10" x14ac:dyDescent="0.35">
      <c r="A236">
        <v>235</v>
      </c>
      <c r="B236" t="s">
        <v>26</v>
      </c>
      <c r="C236">
        <v>17</v>
      </c>
      <c r="D236" t="s">
        <v>21</v>
      </c>
      <c r="E236" t="s">
        <v>25</v>
      </c>
      <c r="F236" t="s">
        <v>24</v>
      </c>
      <c r="G236" t="s">
        <v>112</v>
      </c>
      <c r="H236">
        <v>1</v>
      </c>
      <c r="I236" t="str">
        <f>_xlfn.XLOOKUP(tbl_Students[[#This Row],[school_id]],tbl_Schools[school_id],tbl_Schools[school_name],"Unknown")</f>
        <v>Gabriel Pereira</v>
      </c>
      <c r="J236" t="str">
        <f t="shared" si="3"/>
        <v>17-18</v>
      </c>
    </row>
    <row r="237" spans="1:10" x14ac:dyDescent="0.35">
      <c r="A237">
        <v>236</v>
      </c>
      <c r="B237" t="s">
        <v>26</v>
      </c>
      <c r="C237">
        <v>16</v>
      </c>
      <c r="D237" t="s">
        <v>21</v>
      </c>
      <c r="E237" t="s">
        <v>22</v>
      </c>
      <c r="F237" t="s">
        <v>24</v>
      </c>
      <c r="G237" t="s">
        <v>112</v>
      </c>
      <c r="H237">
        <v>1</v>
      </c>
      <c r="I237" t="str">
        <f>_xlfn.XLOOKUP(tbl_Students[[#This Row],[school_id]],tbl_Schools[school_id],tbl_Schools[school_name],"Unknown")</f>
        <v>Gabriel Pereira</v>
      </c>
      <c r="J237" t="str">
        <f t="shared" si="3"/>
        <v>15-16</v>
      </c>
    </row>
    <row r="238" spans="1:10" x14ac:dyDescent="0.35">
      <c r="A238">
        <v>237</v>
      </c>
      <c r="B238" t="s">
        <v>26</v>
      </c>
      <c r="C238">
        <v>17</v>
      </c>
      <c r="D238" t="s">
        <v>21</v>
      </c>
      <c r="E238" t="s">
        <v>25</v>
      </c>
      <c r="F238" t="s">
        <v>24</v>
      </c>
      <c r="G238" t="s">
        <v>113</v>
      </c>
      <c r="H238">
        <v>1</v>
      </c>
      <c r="I238" t="str">
        <f>_xlfn.XLOOKUP(tbl_Students[[#This Row],[school_id]],tbl_Schools[school_id],tbl_Schools[school_name],"Unknown")</f>
        <v>Gabriel Pereira</v>
      </c>
      <c r="J238" t="str">
        <f t="shared" si="3"/>
        <v>17-18</v>
      </c>
    </row>
    <row r="239" spans="1:10" x14ac:dyDescent="0.35">
      <c r="A239">
        <v>238</v>
      </c>
      <c r="B239" t="s">
        <v>20</v>
      </c>
      <c r="C239">
        <v>16</v>
      </c>
      <c r="D239" t="s">
        <v>21</v>
      </c>
      <c r="E239" t="s">
        <v>22</v>
      </c>
      <c r="F239" t="s">
        <v>24</v>
      </c>
      <c r="G239" t="s">
        <v>112</v>
      </c>
      <c r="H239">
        <v>1</v>
      </c>
      <c r="I239" t="str">
        <f>_xlfn.XLOOKUP(tbl_Students[[#This Row],[school_id]],tbl_Schools[school_id],tbl_Schools[school_name],"Unknown")</f>
        <v>Gabriel Pereira</v>
      </c>
      <c r="J239" t="str">
        <f t="shared" si="3"/>
        <v>15-16</v>
      </c>
    </row>
    <row r="240" spans="1:10" x14ac:dyDescent="0.35">
      <c r="A240">
        <v>239</v>
      </c>
      <c r="B240" t="s">
        <v>20</v>
      </c>
      <c r="C240">
        <v>17</v>
      </c>
      <c r="D240" t="s">
        <v>28</v>
      </c>
      <c r="E240" t="s">
        <v>22</v>
      </c>
      <c r="F240" t="s">
        <v>24</v>
      </c>
      <c r="G240" t="s">
        <v>112</v>
      </c>
      <c r="H240">
        <v>1</v>
      </c>
      <c r="I240" t="str">
        <f>_xlfn.XLOOKUP(tbl_Students[[#This Row],[school_id]],tbl_Schools[school_id],tbl_Schools[school_name],"Unknown")</f>
        <v>Gabriel Pereira</v>
      </c>
      <c r="J240" t="str">
        <f t="shared" si="3"/>
        <v>17-18</v>
      </c>
    </row>
    <row r="241" spans="1:10" x14ac:dyDescent="0.35">
      <c r="A241">
        <v>240</v>
      </c>
      <c r="B241" t="s">
        <v>26</v>
      </c>
      <c r="C241">
        <v>18</v>
      </c>
      <c r="D241" t="s">
        <v>21</v>
      </c>
      <c r="E241" t="s">
        <v>22</v>
      </c>
      <c r="F241" t="s">
        <v>24</v>
      </c>
      <c r="G241" t="s">
        <v>113</v>
      </c>
      <c r="H241">
        <v>1</v>
      </c>
      <c r="I241" t="str">
        <f>_xlfn.XLOOKUP(tbl_Students[[#This Row],[school_id]],tbl_Schools[school_id],tbl_Schools[school_name],"Unknown")</f>
        <v>Gabriel Pereira</v>
      </c>
      <c r="J241" t="str">
        <f t="shared" si="3"/>
        <v>17-18</v>
      </c>
    </row>
    <row r="242" spans="1:10" x14ac:dyDescent="0.35">
      <c r="A242">
        <v>241</v>
      </c>
      <c r="B242" t="s">
        <v>26</v>
      </c>
      <c r="C242">
        <v>17</v>
      </c>
      <c r="D242" t="s">
        <v>21</v>
      </c>
      <c r="E242" t="s">
        <v>25</v>
      </c>
      <c r="F242" t="s">
        <v>24</v>
      </c>
      <c r="G242" t="s">
        <v>112</v>
      </c>
      <c r="H242">
        <v>1</v>
      </c>
      <c r="I242" t="str">
        <f>_xlfn.XLOOKUP(tbl_Students[[#This Row],[school_id]],tbl_Schools[school_id],tbl_Schools[school_name],"Unknown")</f>
        <v>Gabriel Pereira</v>
      </c>
      <c r="J242" t="str">
        <f t="shared" si="3"/>
        <v>17-18</v>
      </c>
    </row>
    <row r="243" spans="1:10" x14ac:dyDescent="0.35">
      <c r="A243">
        <v>242</v>
      </c>
      <c r="B243" t="s">
        <v>26</v>
      </c>
      <c r="C243">
        <v>17</v>
      </c>
      <c r="D243" t="s">
        <v>28</v>
      </c>
      <c r="E243" t="s">
        <v>25</v>
      </c>
      <c r="F243" t="s">
        <v>23</v>
      </c>
      <c r="G243" t="s">
        <v>112</v>
      </c>
      <c r="H243">
        <v>1</v>
      </c>
      <c r="I243" t="str">
        <f>_xlfn.XLOOKUP(tbl_Students[[#This Row],[school_id]],tbl_Schools[school_id],tbl_Schools[school_name],"Unknown")</f>
        <v>Gabriel Pereira</v>
      </c>
      <c r="J243" t="str">
        <f t="shared" si="3"/>
        <v>17-18</v>
      </c>
    </row>
    <row r="244" spans="1:10" x14ac:dyDescent="0.35">
      <c r="A244">
        <v>243</v>
      </c>
      <c r="B244" t="s">
        <v>26</v>
      </c>
      <c r="C244">
        <v>16</v>
      </c>
      <c r="D244" t="s">
        <v>21</v>
      </c>
      <c r="E244" t="s">
        <v>25</v>
      </c>
      <c r="F244" t="s">
        <v>24</v>
      </c>
      <c r="G244" t="s">
        <v>112</v>
      </c>
      <c r="H244">
        <v>1</v>
      </c>
      <c r="I244" t="str">
        <f>_xlfn.XLOOKUP(tbl_Students[[#This Row],[school_id]],tbl_Schools[school_id],tbl_Schools[school_name],"Unknown")</f>
        <v>Gabriel Pereira</v>
      </c>
      <c r="J244" t="str">
        <f t="shared" si="3"/>
        <v>15-16</v>
      </c>
    </row>
    <row r="245" spans="1:10" x14ac:dyDescent="0.35">
      <c r="A245">
        <v>244</v>
      </c>
      <c r="B245" t="s">
        <v>26</v>
      </c>
      <c r="C245">
        <v>16</v>
      </c>
      <c r="D245" t="s">
        <v>21</v>
      </c>
      <c r="E245" t="s">
        <v>22</v>
      </c>
      <c r="F245" t="s">
        <v>24</v>
      </c>
      <c r="G245" t="s">
        <v>112</v>
      </c>
      <c r="H245">
        <v>1</v>
      </c>
      <c r="I245" t="str">
        <f>_xlfn.XLOOKUP(tbl_Students[[#This Row],[school_id]],tbl_Schools[school_id],tbl_Schools[school_name],"Unknown")</f>
        <v>Gabriel Pereira</v>
      </c>
      <c r="J245" t="str">
        <f t="shared" si="3"/>
        <v>15-16</v>
      </c>
    </row>
    <row r="246" spans="1:10" x14ac:dyDescent="0.35">
      <c r="A246">
        <v>245</v>
      </c>
      <c r="B246" t="s">
        <v>20</v>
      </c>
      <c r="C246">
        <v>18</v>
      </c>
      <c r="D246" t="s">
        <v>21</v>
      </c>
      <c r="E246" t="s">
        <v>22</v>
      </c>
      <c r="F246" t="s">
        <v>24</v>
      </c>
      <c r="G246" t="s">
        <v>27</v>
      </c>
      <c r="H246">
        <v>1</v>
      </c>
      <c r="I246" t="str">
        <f>_xlfn.XLOOKUP(tbl_Students[[#This Row],[school_id]],tbl_Schools[school_id],tbl_Schools[school_name],"Unknown")</f>
        <v>Gabriel Pereira</v>
      </c>
      <c r="J246" t="str">
        <f t="shared" si="3"/>
        <v>17-18</v>
      </c>
    </row>
    <row r="247" spans="1:10" x14ac:dyDescent="0.35">
      <c r="A247">
        <v>246</v>
      </c>
      <c r="B247" t="s">
        <v>26</v>
      </c>
      <c r="C247">
        <v>16</v>
      </c>
      <c r="D247" t="s">
        <v>21</v>
      </c>
      <c r="E247" t="s">
        <v>22</v>
      </c>
      <c r="F247" t="s">
        <v>24</v>
      </c>
      <c r="G247" t="s">
        <v>112</v>
      </c>
      <c r="H247">
        <v>1</v>
      </c>
      <c r="I247" t="str">
        <f>_xlfn.XLOOKUP(tbl_Students[[#This Row],[school_id]],tbl_Schools[school_id],tbl_Schools[school_name],"Unknown")</f>
        <v>Gabriel Pereira</v>
      </c>
      <c r="J247" t="str">
        <f t="shared" si="3"/>
        <v>15-16</v>
      </c>
    </row>
    <row r="248" spans="1:10" x14ac:dyDescent="0.35">
      <c r="A248">
        <v>247</v>
      </c>
      <c r="B248" t="s">
        <v>26</v>
      </c>
      <c r="C248">
        <v>17</v>
      </c>
      <c r="D248" t="s">
        <v>21</v>
      </c>
      <c r="E248" t="s">
        <v>22</v>
      </c>
      <c r="F248" t="s">
        <v>24</v>
      </c>
      <c r="G248" t="s">
        <v>113</v>
      </c>
      <c r="H248">
        <v>1</v>
      </c>
      <c r="I248" t="str">
        <f>_xlfn.XLOOKUP(tbl_Students[[#This Row],[school_id]],tbl_Schools[school_id],tbl_Schools[school_name],"Unknown")</f>
        <v>Gabriel Pereira</v>
      </c>
      <c r="J248" t="str">
        <f t="shared" si="3"/>
        <v>17-18</v>
      </c>
    </row>
    <row r="249" spans="1:10" x14ac:dyDescent="0.35">
      <c r="A249">
        <v>248</v>
      </c>
      <c r="B249" t="s">
        <v>26</v>
      </c>
      <c r="C249">
        <v>22</v>
      </c>
      <c r="D249" t="s">
        <v>21</v>
      </c>
      <c r="E249" t="s">
        <v>22</v>
      </c>
      <c r="F249" t="s">
        <v>24</v>
      </c>
      <c r="G249" t="s">
        <v>112</v>
      </c>
      <c r="H249">
        <v>1</v>
      </c>
      <c r="I249" t="str">
        <f>_xlfn.XLOOKUP(tbl_Students[[#This Row],[school_id]],tbl_Schools[school_id],tbl_Schools[school_name],"Unknown")</f>
        <v>Gabriel Pereira</v>
      </c>
      <c r="J249" t="str">
        <f t="shared" si="3"/>
        <v>21-22</v>
      </c>
    </row>
    <row r="250" spans="1:10" x14ac:dyDescent="0.35">
      <c r="A250">
        <v>249</v>
      </c>
      <c r="B250" t="s">
        <v>26</v>
      </c>
      <c r="C250">
        <v>18</v>
      </c>
      <c r="D250" t="s">
        <v>28</v>
      </c>
      <c r="E250" t="s">
        <v>25</v>
      </c>
      <c r="F250" t="s">
        <v>24</v>
      </c>
      <c r="G250" t="s">
        <v>112</v>
      </c>
      <c r="H250">
        <v>1</v>
      </c>
      <c r="I250" t="str">
        <f>_xlfn.XLOOKUP(tbl_Students[[#This Row],[school_id]],tbl_Schools[school_id],tbl_Schools[school_name],"Unknown")</f>
        <v>Gabriel Pereira</v>
      </c>
      <c r="J250" t="str">
        <f t="shared" si="3"/>
        <v>17-18</v>
      </c>
    </row>
    <row r="251" spans="1:10" x14ac:dyDescent="0.35">
      <c r="A251">
        <v>250</v>
      </c>
      <c r="B251" t="s">
        <v>26</v>
      </c>
      <c r="C251">
        <v>16</v>
      </c>
      <c r="D251" t="s">
        <v>21</v>
      </c>
      <c r="E251" t="s">
        <v>22</v>
      </c>
      <c r="F251" t="s">
        <v>24</v>
      </c>
      <c r="G251" t="s">
        <v>112</v>
      </c>
      <c r="H251">
        <v>1</v>
      </c>
      <c r="I251" t="str">
        <f>_xlfn.XLOOKUP(tbl_Students[[#This Row],[school_id]],tbl_Schools[school_id],tbl_Schools[school_name],"Unknown")</f>
        <v>Gabriel Pereira</v>
      </c>
      <c r="J251" t="str">
        <f t="shared" si="3"/>
        <v>15-16</v>
      </c>
    </row>
    <row r="252" spans="1:10" x14ac:dyDescent="0.35">
      <c r="A252">
        <v>251</v>
      </c>
      <c r="B252" t="s">
        <v>26</v>
      </c>
      <c r="C252">
        <v>18</v>
      </c>
      <c r="D252" t="s">
        <v>21</v>
      </c>
      <c r="E252" t="s">
        <v>22</v>
      </c>
      <c r="F252" t="s">
        <v>24</v>
      </c>
      <c r="G252" t="s">
        <v>112</v>
      </c>
      <c r="H252">
        <v>1</v>
      </c>
      <c r="I252" t="str">
        <f>_xlfn.XLOOKUP(tbl_Students[[#This Row],[school_id]],tbl_Schools[school_id],tbl_Schools[school_name],"Unknown")</f>
        <v>Gabriel Pereira</v>
      </c>
      <c r="J252" t="str">
        <f t="shared" si="3"/>
        <v>17-18</v>
      </c>
    </row>
    <row r="253" spans="1:10" x14ac:dyDescent="0.35">
      <c r="A253">
        <v>252</v>
      </c>
      <c r="B253" t="s">
        <v>26</v>
      </c>
      <c r="C253">
        <v>16</v>
      </c>
      <c r="D253" t="s">
        <v>21</v>
      </c>
      <c r="E253" t="s">
        <v>22</v>
      </c>
      <c r="F253" t="s">
        <v>24</v>
      </c>
      <c r="G253" t="s">
        <v>27</v>
      </c>
      <c r="H253">
        <v>1</v>
      </c>
      <c r="I253" t="str">
        <f>_xlfn.XLOOKUP(tbl_Students[[#This Row],[school_id]],tbl_Schools[school_id],tbl_Schools[school_name],"Unknown")</f>
        <v>Gabriel Pereira</v>
      </c>
      <c r="J253" t="str">
        <f t="shared" si="3"/>
        <v>15-16</v>
      </c>
    </row>
    <row r="254" spans="1:10" x14ac:dyDescent="0.35">
      <c r="A254">
        <v>253</v>
      </c>
      <c r="B254" t="s">
        <v>26</v>
      </c>
      <c r="C254">
        <v>18</v>
      </c>
      <c r="D254" t="s">
        <v>21</v>
      </c>
      <c r="E254" t="s">
        <v>22</v>
      </c>
      <c r="F254" t="s">
        <v>24</v>
      </c>
      <c r="G254" t="s">
        <v>112</v>
      </c>
      <c r="H254">
        <v>1</v>
      </c>
      <c r="I254" t="str">
        <f>_xlfn.XLOOKUP(tbl_Students[[#This Row],[school_id]],tbl_Schools[school_id],tbl_Schools[school_name],"Unknown")</f>
        <v>Gabriel Pereira</v>
      </c>
      <c r="J254" t="str">
        <f t="shared" si="3"/>
        <v>17-18</v>
      </c>
    </row>
    <row r="255" spans="1:10" x14ac:dyDescent="0.35">
      <c r="A255">
        <v>254</v>
      </c>
      <c r="B255" t="s">
        <v>26</v>
      </c>
      <c r="C255">
        <v>16</v>
      </c>
      <c r="D255" t="s">
        <v>28</v>
      </c>
      <c r="E255" t="s">
        <v>22</v>
      </c>
      <c r="F255" t="s">
        <v>24</v>
      </c>
      <c r="G255" t="s">
        <v>112</v>
      </c>
      <c r="H255">
        <v>1</v>
      </c>
      <c r="I255" t="str">
        <f>_xlfn.XLOOKUP(tbl_Students[[#This Row],[school_id]],tbl_Schools[school_id],tbl_Schools[school_name],"Unknown")</f>
        <v>Gabriel Pereira</v>
      </c>
      <c r="J255" t="str">
        <f t="shared" si="3"/>
        <v>15-16</v>
      </c>
    </row>
    <row r="256" spans="1:10" x14ac:dyDescent="0.35">
      <c r="A256">
        <v>255</v>
      </c>
      <c r="B256" t="s">
        <v>26</v>
      </c>
      <c r="C256">
        <v>17</v>
      </c>
      <c r="D256" t="s">
        <v>28</v>
      </c>
      <c r="E256" t="s">
        <v>22</v>
      </c>
      <c r="F256" t="s">
        <v>24</v>
      </c>
      <c r="G256" t="s">
        <v>112</v>
      </c>
      <c r="H256">
        <v>1</v>
      </c>
      <c r="I256" t="str">
        <f>_xlfn.XLOOKUP(tbl_Students[[#This Row],[school_id]],tbl_Schools[school_id],tbl_Schools[school_name],"Unknown")</f>
        <v>Gabriel Pereira</v>
      </c>
      <c r="J256" t="str">
        <f t="shared" si="3"/>
        <v>17-18</v>
      </c>
    </row>
    <row r="257" spans="1:10" x14ac:dyDescent="0.35">
      <c r="A257">
        <v>256</v>
      </c>
      <c r="B257" t="s">
        <v>26</v>
      </c>
      <c r="C257">
        <v>17</v>
      </c>
      <c r="D257" t="s">
        <v>21</v>
      </c>
      <c r="E257" t="s">
        <v>25</v>
      </c>
      <c r="F257" t="s">
        <v>24</v>
      </c>
      <c r="G257" t="s">
        <v>112</v>
      </c>
      <c r="H257">
        <v>1</v>
      </c>
      <c r="I257" t="str">
        <f>_xlfn.XLOOKUP(tbl_Students[[#This Row],[school_id]],tbl_Schools[school_id],tbl_Schools[school_name],"Unknown")</f>
        <v>Gabriel Pereira</v>
      </c>
      <c r="J257" t="str">
        <f t="shared" si="3"/>
        <v>17-18</v>
      </c>
    </row>
    <row r="258" spans="1:10" x14ac:dyDescent="0.35">
      <c r="A258">
        <v>257</v>
      </c>
      <c r="B258" t="s">
        <v>20</v>
      </c>
      <c r="C258">
        <v>17</v>
      </c>
      <c r="D258" t="s">
        <v>21</v>
      </c>
      <c r="E258" t="s">
        <v>25</v>
      </c>
      <c r="F258" t="s">
        <v>24</v>
      </c>
      <c r="G258" t="s">
        <v>112</v>
      </c>
      <c r="H258">
        <v>1</v>
      </c>
      <c r="I258" t="str">
        <f>_xlfn.XLOOKUP(tbl_Students[[#This Row],[school_id]],tbl_Schools[school_id],tbl_Schools[school_name],"Unknown")</f>
        <v>Gabriel Pereira</v>
      </c>
      <c r="J258" t="str">
        <f t="shared" ref="J258:J321" si="4">IF(C258&lt;=16,"15-16",IF(C258&lt;=18,"17-18",IF(C258&lt;=20,"19-20","21-22")))</f>
        <v>17-18</v>
      </c>
    </row>
    <row r="259" spans="1:10" x14ac:dyDescent="0.35">
      <c r="A259">
        <v>258</v>
      </c>
      <c r="B259" t="s">
        <v>26</v>
      </c>
      <c r="C259">
        <v>19</v>
      </c>
      <c r="D259" t="s">
        <v>21</v>
      </c>
      <c r="E259" t="s">
        <v>25</v>
      </c>
      <c r="F259" t="s">
        <v>23</v>
      </c>
      <c r="G259" t="s">
        <v>112</v>
      </c>
      <c r="H259">
        <v>1</v>
      </c>
      <c r="I259" t="str">
        <f>_xlfn.XLOOKUP(tbl_Students[[#This Row],[school_id]],tbl_Schools[school_id],tbl_Schools[school_name],"Unknown")</f>
        <v>Gabriel Pereira</v>
      </c>
      <c r="J259" t="str">
        <f t="shared" si="4"/>
        <v>19-20</v>
      </c>
    </row>
    <row r="260" spans="1:10" x14ac:dyDescent="0.35">
      <c r="A260">
        <v>259</v>
      </c>
      <c r="B260" t="s">
        <v>26</v>
      </c>
      <c r="C260">
        <v>18</v>
      </c>
      <c r="D260" t="s">
        <v>21</v>
      </c>
      <c r="E260" t="s">
        <v>22</v>
      </c>
      <c r="F260" t="s">
        <v>24</v>
      </c>
      <c r="G260" t="s">
        <v>112</v>
      </c>
      <c r="H260">
        <v>1</v>
      </c>
      <c r="I260" t="str">
        <f>_xlfn.XLOOKUP(tbl_Students[[#This Row],[school_id]],tbl_Schools[school_id],tbl_Schools[school_name],"Unknown")</f>
        <v>Gabriel Pereira</v>
      </c>
      <c r="J260" t="str">
        <f t="shared" si="4"/>
        <v>17-18</v>
      </c>
    </row>
    <row r="261" spans="1:10" x14ac:dyDescent="0.35">
      <c r="A261">
        <v>260</v>
      </c>
      <c r="B261" t="s">
        <v>20</v>
      </c>
      <c r="C261">
        <v>17</v>
      </c>
      <c r="D261" t="s">
        <v>21</v>
      </c>
      <c r="E261" t="s">
        <v>25</v>
      </c>
      <c r="F261" t="s">
        <v>24</v>
      </c>
      <c r="G261" t="s">
        <v>113</v>
      </c>
      <c r="H261">
        <v>1</v>
      </c>
      <c r="I261" t="str">
        <f>_xlfn.XLOOKUP(tbl_Students[[#This Row],[school_id]],tbl_Schools[school_id],tbl_Schools[school_name],"Unknown")</f>
        <v>Gabriel Pereira</v>
      </c>
      <c r="J261" t="str">
        <f t="shared" si="4"/>
        <v>17-18</v>
      </c>
    </row>
    <row r="262" spans="1:10" x14ac:dyDescent="0.35">
      <c r="A262">
        <v>261</v>
      </c>
      <c r="B262" t="s">
        <v>20</v>
      </c>
      <c r="C262">
        <v>18</v>
      </c>
      <c r="D262" t="s">
        <v>21</v>
      </c>
      <c r="E262" t="s">
        <v>22</v>
      </c>
      <c r="F262" t="s">
        <v>24</v>
      </c>
      <c r="G262" t="s">
        <v>113</v>
      </c>
      <c r="H262">
        <v>1</v>
      </c>
      <c r="I262" t="str">
        <f>_xlfn.XLOOKUP(tbl_Students[[#This Row],[school_id]],tbl_Schools[school_id],tbl_Schools[school_name],"Unknown")</f>
        <v>Gabriel Pereira</v>
      </c>
      <c r="J262" t="str">
        <f t="shared" si="4"/>
        <v>17-18</v>
      </c>
    </row>
    <row r="263" spans="1:10" x14ac:dyDescent="0.35">
      <c r="A263">
        <v>262</v>
      </c>
      <c r="B263" t="s">
        <v>26</v>
      </c>
      <c r="C263">
        <v>18</v>
      </c>
      <c r="D263" t="s">
        <v>21</v>
      </c>
      <c r="E263" t="s">
        <v>22</v>
      </c>
      <c r="F263" t="s">
        <v>24</v>
      </c>
      <c r="G263" t="s">
        <v>112</v>
      </c>
      <c r="H263">
        <v>1</v>
      </c>
      <c r="I263" t="str">
        <f>_xlfn.XLOOKUP(tbl_Students[[#This Row],[school_id]],tbl_Schools[school_id],tbl_Schools[school_name],"Unknown")</f>
        <v>Gabriel Pereira</v>
      </c>
      <c r="J263" t="str">
        <f t="shared" si="4"/>
        <v>17-18</v>
      </c>
    </row>
    <row r="264" spans="1:10" x14ac:dyDescent="0.35">
      <c r="A264">
        <v>263</v>
      </c>
      <c r="B264" t="s">
        <v>26</v>
      </c>
      <c r="C264">
        <v>18</v>
      </c>
      <c r="D264" t="s">
        <v>28</v>
      </c>
      <c r="E264" t="s">
        <v>22</v>
      </c>
      <c r="F264" t="s">
        <v>24</v>
      </c>
      <c r="G264" t="s">
        <v>112</v>
      </c>
      <c r="H264">
        <v>1</v>
      </c>
      <c r="I264" t="str">
        <f>_xlfn.XLOOKUP(tbl_Students[[#This Row],[school_id]],tbl_Schools[school_id],tbl_Schools[school_name],"Unknown")</f>
        <v>Gabriel Pereira</v>
      </c>
      <c r="J264" t="str">
        <f t="shared" si="4"/>
        <v>17-18</v>
      </c>
    </row>
    <row r="265" spans="1:10" x14ac:dyDescent="0.35">
      <c r="A265">
        <v>264</v>
      </c>
      <c r="B265" t="s">
        <v>20</v>
      </c>
      <c r="C265">
        <v>17</v>
      </c>
      <c r="D265" t="s">
        <v>21</v>
      </c>
      <c r="E265" t="s">
        <v>22</v>
      </c>
      <c r="F265" t="s">
        <v>24</v>
      </c>
      <c r="G265" t="s">
        <v>112</v>
      </c>
      <c r="H265">
        <v>1</v>
      </c>
      <c r="I265" t="str">
        <f>_xlfn.XLOOKUP(tbl_Students[[#This Row],[school_id]],tbl_Schools[school_id],tbl_Schools[school_name],"Unknown")</f>
        <v>Gabriel Pereira</v>
      </c>
      <c r="J265" t="str">
        <f t="shared" si="4"/>
        <v>17-18</v>
      </c>
    </row>
    <row r="266" spans="1:10" x14ac:dyDescent="0.35">
      <c r="A266">
        <v>265</v>
      </c>
      <c r="B266" t="s">
        <v>20</v>
      </c>
      <c r="C266">
        <v>18</v>
      </c>
      <c r="D266" t="s">
        <v>21</v>
      </c>
      <c r="E266" t="s">
        <v>22</v>
      </c>
      <c r="F266" t="s">
        <v>24</v>
      </c>
      <c r="G266" t="s">
        <v>112</v>
      </c>
      <c r="H266">
        <v>1</v>
      </c>
      <c r="I266" t="str">
        <f>_xlfn.XLOOKUP(tbl_Students[[#This Row],[school_id]],tbl_Schools[school_id],tbl_Schools[school_name],"Unknown")</f>
        <v>Gabriel Pereira</v>
      </c>
      <c r="J266" t="str">
        <f t="shared" si="4"/>
        <v>17-18</v>
      </c>
    </row>
    <row r="267" spans="1:10" x14ac:dyDescent="0.35">
      <c r="A267">
        <v>266</v>
      </c>
      <c r="B267" t="s">
        <v>26</v>
      </c>
      <c r="C267">
        <v>18</v>
      </c>
      <c r="D267" t="s">
        <v>28</v>
      </c>
      <c r="E267" t="s">
        <v>25</v>
      </c>
      <c r="F267" t="s">
        <v>23</v>
      </c>
      <c r="G267" t="s">
        <v>112</v>
      </c>
      <c r="H267">
        <v>1</v>
      </c>
      <c r="I267" t="str">
        <f>_xlfn.XLOOKUP(tbl_Students[[#This Row],[school_id]],tbl_Schools[school_id],tbl_Schools[school_name],"Unknown")</f>
        <v>Gabriel Pereira</v>
      </c>
      <c r="J267" t="str">
        <f t="shared" si="4"/>
        <v>17-18</v>
      </c>
    </row>
    <row r="268" spans="1:10" x14ac:dyDescent="0.35">
      <c r="A268">
        <v>267</v>
      </c>
      <c r="B268" t="s">
        <v>26</v>
      </c>
      <c r="C268">
        <v>17</v>
      </c>
      <c r="D268" t="s">
        <v>21</v>
      </c>
      <c r="E268" t="s">
        <v>22</v>
      </c>
      <c r="F268" t="s">
        <v>24</v>
      </c>
      <c r="G268" t="s">
        <v>112</v>
      </c>
      <c r="H268">
        <v>1</v>
      </c>
      <c r="I268" t="str">
        <f>_xlfn.XLOOKUP(tbl_Students[[#This Row],[school_id]],tbl_Schools[school_id],tbl_Schools[school_name],"Unknown")</f>
        <v>Gabriel Pereira</v>
      </c>
      <c r="J268" t="str">
        <f t="shared" si="4"/>
        <v>17-18</v>
      </c>
    </row>
    <row r="269" spans="1:10" x14ac:dyDescent="0.35">
      <c r="A269">
        <v>268</v>
      </c>
      <c r="B269" t="s">
        <v>20</v>
      </c>
      <c r="C269">
        <v>18</v>
      </c>
      <c r="D269" t="s">
        <v>28</v>
      </c>
      <c r="E269" t="s">
        <v>22</v>
      </c>
      <c r="F269" t="s">
        <v>24</v>
      </c>
      <c r="G269" t="s">
        <v>112</v>
      </c>
      <c r="H269">
        <v>1</v>
      </c>
      <c r="I269" t="str">
        <f>_xlfn.XLOOKUP(tbl_Students[[#This Row],[school_id]],tbl_Schools[school_id],tbl_Schools[school_name],"Unknown")</f>
        <v>Gabriel Pereira</v>
      </c>
      <c r="J269" t="str">
        <f t="shared" si="4"/>
        <v>17-18</v>
      </c>
    </row>
    <row r="270" spans="1:10" x14ac:dyDescent="0.35">
      <c r="A270">
        <v>269</v>
      </c>
      <c r="B270" t="s">
        <v>26</v>
      </c>
      <c r="C270">
        <v>18</v>
      </c>
      <c r="D270" t="s">
        <v>21</v>
      </c>
      <c r="E270" t="s">
        <v>22</v>
      </c>
      <c r="F270" t="s">
        <v>24</v>
      </c>
      <c r="G270" t="s">
        <v>113</v>
      </c>
      <c r="H270">
        <v>1</v>
      </c>
      <c r="I270" t="str">
        <f>_xlfn.XLOOKUP(tbl_Students[[#This Row],[school_id]],tbl_Schools[school_id],tbl_Schools[school_name],"Unknown")</f>
        <v>Gabriel Pereira</v>
      </c>
      <c r="J270" t="str">
        <f t="shared" si="4"/>
        <v>17-18</v>
      </c>
    </row>
    <row r="271" spans="1:10" x14ac:dyDescent="0.35">
      <c r="A271">
        <v>270</v>
      </c>
      <c r="B271" t="s">
        <v>20</v>
      </c>
      <c r="C271">
        <v>18</v>
      </c>
      <c r="D271" t="s">
        <v>28</v>
      </c>
      <c r="E271" t="s">
        <v>22</v>
      </c>
      <c r="F271" t="s">
        <v>24</v>
      </c>
      <c r="G271" t="s">
        <v>112</v>
      </c>
      <c r="H271">
        <v>1</v>
      </c>
      <c r="I271" t="str">
        <f>_xlfn.XLOOKUP(tbl_Students[[#This Row],[school_id]],tbl_Schools[school_id],tbl_Schools[school_name],"Unknown")</f>
        <v>Gabriel Pereira</v>
      </c>
      <c r="J271" t="str">
        <f t="shared" si="4"/>
        <v>17-18</v>
      </c>
    </row>
    <row r="272" spans="1:10" x14ac:dyDescent="0.35">
      <c r="A272">
        <v>271</v>
      </c>
      <c r="B272" t="s">
        <v>20</v>
      </c>
      <c r="C272">
        <v>19</v>
      </c>
      <c r="D272" t="s">
        <v>21</v>
      </c>
      <c r="E272" t="s">
        <v>22</v>
      </c>
      <c r="F272" t="s">
        <v>24</v>
      </c>
      <c r="G272" t="s">
        <v>27</v>
      </c>
      <c r="H272">
        <v>1</v>
      </c>
      <c r="I272" t="str">
        <f>_xlfn.XLOOKUP(tbl_Students[[#This Row],[school_id]],tbl_Schools[school_id],tbl_Schools[school_name],"Unknown")</f>
        <v>Gabriel Pereira</v>
      </c>
      <c r="J272" t="str">
        <f t="shared" si="4"/>
        <v>19-20</v>
      </c>
    </row>
    <row r="273" spans="1:10" x14ac:dyDescent="0.35">
      <c r="A273">
        <v>272</v>
      </c>
      <c r="B273" t="s">
        <v>20</v>
      </c>
      <c r="C273">
        <v>18</v>
      </c>
      <c r="D273" t="s">
        <v>21</v>
      </c>
      <c r="E273" t="s">
        <v>22</v>
      </c>
      <c r="F273" t="s">
        <v>24</v>
      </c>
      <c r="G273" t="s">
        <v>113</v>
      </c>
      <c r="H273">
        <v>1</v>
      </c>
      <c r="I273" t="str">
        <f>_xlfn.XLOOKUP(tbl_Students[[#This Row],[school_id]],tbl_Schools[school_id],tbl_Schools[school_name],"Unknown")</f>
        <v>Gabriel Pereira</v>
      </c>
      <c r="J273" t="str">
        <f t="shared" si="4"/>
        <v>17-18</v>
      </c>
    </row>
    <row r="274" spans="1:10" x14ac:dyDescent="0.35">
      <c r="A274">
        <v>273</v>
      </c>
      <c r="B274" t="s">
        <v>20</v>
      </c>
      <c r="C274">
        <v>18</v>
      </c>
      <c r="D274" t="s">
        <v>21</v>
      </c>
      <c r="E274" t="s">
        <v>25</v>
      </c>
      <c r="F274" t="s">
        <v>24</v>
      </c>
      <c r="G274" t="s">
        <v>112</v>
      </c>
      <c r="H274">
        <v>1</v>
      </c>
      <c r="I274" t="str">
        <f>_xlfn.XLOOKUP(tbl_Students[[#This Row],[school_id]],tbl_Schools[school_id],tbl_Schools[school_name],"Unknown")</f>
        <v>Gabriel Pereira</v>
      </c>
      <c r="J274" t="str">
        <f t="shared" si="4"/>
        <v>17-18</v>
      </c>
    </row>
    <row r="275" spans="1:10" x14ac:dyDescent="0.35">
      <c r="A275">
        <v>274</v>
      </c>
      <c r="B275" t="s">
        <v>26</v>
      </c>
      <c r="C275">
        <v>17</v>
      </c>
      <c r="D275" t="s">
        <v>28</v>
      </c>
      <c r="E275" t="s">
        <v>22</v>
      </c>
      <c r="F275" t="s">
        <v>24</v>
      </c>
      <c r="G275" t="s">
        <v>112</v>
      </c>
      <c r="H275">
        <v>1</v>
      </c>
      <c r="I275" t="str">
        <f>_xlfn.XLOOKUP(tbl_Students[[#This Row],[school_id]],tbl_Schools[school_id],tbl_Schools[school_name],"Unknown")</f>
        <v>Gabriel Pereira</v>
      </c>
      <c r="J275" t="str">
        <f t="shared" si="4"/>
        <v>17-18</v>
      </c>
    </row>
    <row r="276" spans="1:10" x14ac:dyDescent="0.35">
      <c r="A276">
        <v>275</v>
      </c>
      <c r="B276" t="s">
        <v>20</v>
      </c>
      <c r="C276">
        <v>17</v>
      </c>
      <c r="D276" t="s">
        <v>21</v>
      </c>
      <c r="E276" t="s">
        <v>22</v>
      </c>
      <c r="F276" t="s">
        <v>24</v>
      </c>
      <c r="G276" t="s">
        <v>112</v>
      </c>
      <c r="H276">
        <v>1</v>
      </c>
      <c r="I276" t="str">
        <f>_xlfn.XLOOKUP(tbl_Students[[#This Row],[school_id]],tbl_Schools[school_id],tbl_Schools[school_name],"Unknown")</f>
        <v>Gabriel Pereira</v>
      </c>
      <c r="J276" t="str">
        <f t="shared" si="4"/>
        <v>17-18</v>
      </c>
    </row>
    <row r="277" spans="1:10" x14ac:dyDescent="0.35">
      <c r="A277">
        <v>276</v>
      </c>
      <c r="B277" t="s">
        <v>20</v>
      </c>
      <c r="C277">
        <v>17</v>
      </c>
      <c r="D277" t="s">
        <v>21</v>
      </c>
      <c r="E277" t="s">
        <v>25</v>
      </c>
      <c r="F277" t="s">
        <v>24</v>
      </c>
      <c r="G277" t="s">
        <v>112</v>
      </c>
      <c r="H277">
        <v>1</v>
      </c>
      <c r="I277" t="str">
        <f>_xlfn.XLOOKUP(tbl_Students[[#This Row],[school_id]],tbl_Schools[school_id],tbl_Schools[school_name],"Unknown")</f>
        <v>Gabriel Pereira</v>
      </c>
      <c r="J277" t="str">
        <f t="shared" si="4"/>
        <v>17-18</v>
      </c>
    </row>
    <row r="278" spans="1:10" x14ac:dyDescent="0.35">
      <c r="A278">
        <v>277</v>
      </c>
      <c r="B278" t="s">
        <v>20</v>
      </c>
      <c r="C278">
        <v>18</v>
      </c>
      <c r="D278" t="s">
        <v>28</v>
      </c>
      <c r="E278" t="s">
        <v>22</v>
      </c>
      <c r="F278" t="s">
        <v>23</v>
      </c>
      <c r="G278" t="s">
        <v>112</v>
      </c>
      <c r="H278">
        <v>1</v>
      </c>
      <c r="I278" t="str">
        <f>_xlfn.XLOOKUP(tbl_Students[[#This Row],[school_id]],tbl_Schools[school_id],tbl_Schools[school_name],"Unknown")</f>
        <v>Gabriel Pereira</v>
      </c>
      <c r="J278" t="str">
        <f t="shared" si="4"/>
        <v>17-18</v>
      </c>
    </row>
    <row r="279" spans="1:10" x14ac:dyDescent="0.35">
      <c r="A279">
        <v>278</v>
      </c>
      <c r="B279" t="s">
        <v>26</v>
      </c>
      <c r="C279">
        <v>18</v>
      </c>
      <c r="D279" t="s">
        <v>21</v>
      </c>
      <c r="E279" t="s">
        <v>22</v>
      </c>
      <c r="F279" t="s">
        <v>24</v>
      </c>
      <c r="G279" t="s">
        <v>112</v>
      </c>
      <c r="H279">
        <v>1</v>
      </c>
      <c r="I279" t="str">
        <f>_xlfn.XLOOKUP(tbl_Students[[#This Row],[school_id]],tbl_Schools[school_id],tbl_Schools[school_name],"Unknown")</f>
        <v>Gabriel Pereira</v>
      </c>
      <c r="J279" t="str">
        <f t="shared" si="4"/>
        <v>17-18</v>
      </c>
    </row>
    <row r="280" spans="1:10" x14ac:dyDescent="0.35">
      <c r="A280">
        <v>279</v>
      </c>
      <c r="B280" t="s">
        <v>20</v>
      </c>
      <c r="C280">
        <v>18</v>
      </c>
      <c r="D280" t="s">
        <v>21</v>
      </c>
      <c r="E280" t="s">
        <v>22</v>
      </c>
      <c r="F280" t="s">
        <v>24</v>
      </c>
      <c r="G280" t="s">
        <v>113</v>
      </c>
      <c r="H280">
        <v>1</v>
      </c>
      <c r="I280" t="str">
        <f>_xlfn.XLOOKUP(tbl_Students[[#This Row],[school_id]],tbl_Schools[school_id],tbl_Schools[school_name],"Unknown")</f>
        <v>Gabriel Pereira</v>
      </c>
      <c r="J280" t="str">
        <f t="shared" si="4"/>
        <v>17-18</v>
      </c>
    </row>
    <row r="281" spans="1:10" x14ac:dyDescent="0.35">
      <c r="A281">
        <v>280</v>
      </c>
      <c r="B281" t="s">
        <v>26</v>
      </c>
      <c r="C281">
        <v>18</v>
      </c>
      <c r="D281" t="s">
        <v>21</v>
      </c>
      <c r="E281" t="s">
        <v>25</v>
      </c>
      <c r="F281" t="s">
        <v>24</v>
      </c>
      <c r="G281" t="s">
        <v>112</v>
      </c>
      <c r="H281">
        <v>1</v>
      </c>
      <c r="I281" t="str">
        <f>_xlfn.XLOOKUP(tbl_Students[[#This Row],[school_id]],tbl_Schools[school_id],tbl_Schools[school_name],"Unknown")</f>
        <v>Gabriel Pereira</v>
      </c>
      <c r="J281" t="str">
        <f t="shared" si="4"/>
        <v>17-18</v>
      </c>
    </row>
    <row r="282" spans="1:10" x14ac:dyDescent="0.35">
      <c r="A282">
        <v>281</v>
      </c>
      <c r="B282" t="s">
        <v>26</v>
      </c>
      <c r="C282">
        <v>17</v>
      </c>
      <c r="D282" t="s">
        <v>21</v>
      </c>
      <c r="E282" t="s">
        <v>25</v>
      </c>
      <c r="F282" t="s">
        <v>23</v>
      </c>
      <c r="G282" t="s">
        <v>112</v>
      </c>
      <c r="H282">
        <v>1</v>
      </c>
      <c r="I282" t="str">
        <f>_xlfn.XLOOKUP(tbl_Students[[#This Row],[school_id]],tbl_Schools[school_id],tbl_Schools[school_name],"Unknown")</f>
        <v>Gabriel Pereira</v>
      </c>
      <c r="J282" t="str">
        <f t="shared" si="4"/>
        <v>17-18</v>
      </c>
    </row>
    <row r="283" spans="1:10" x14ac:dyDescent="0.35">
      <c r="A283">
        <v>282</v>
      </c>
      <c r="B283" t="s">
        <v>26</v>
      </c>
      <c r="C283">
        <v>17</v>
      </c>
      <c r="D283" t="s">
        <v>21</v>
      </c>
      <c r="E283" t="s">
        <v>25</v>
      </c>
      <c r="F283" t="s">
        <v>23</v>
      </c>
      <c r="G283" t="s">
        <v>112</v>
      </c>
      <c r="H283">
        <v>1</v>
      </c>
      <c r="I283" t="str">
        <f>_xlfn.XLOOKUP(tbl_Students[[#This Row],[school_id]],tbl_Schools[school_id],tbl_Schools[school_name],"Unknown")</f>
        <v>Gabriel Pereira</v>
      </c>
      <c r="J283" t="str">
        <f t="shared" si="4"/>
        <v>17-18</v>
      </c>
    </row>
    <row r="284" spans="1:10" x14ac:dyDescent="0.35">
      <c r="A284">
        <v>283</v>
      </c>
      <c r="B284" t="s">
        <v>20</v>
      </c>
      <c r="C284">
        <v>18</v>
      </c>
      <c r="D284" t="s">
        <v>28</v>
      </c>
      <c r="E284" t="s">
        <v>25</v>
      </c>
      <c r="F284" t="s">
        <v>24</v>
      </c>
      <c r="G284" t="s">
        <v>112</v>
      </c>
      <c r="H284">
        <v>1</v>
      </c>
      <c r="I284" t="str">
        <f>_xlfn.XLOOKUP(tbl_Students[[#This Row],[school_id]],tbl_Schools[school_id],tbl_Schools[school_name],"Unknown")</f>
        <v>Gabriel Pereira</v>
      </c>
      <c r="J284" t="str">
        <f t="shared" si="4"/>
        <v>17-18</v>
      </c>
    </row>
    <row r="285" spans="1:10" x14ac:dyDescent="0.35">
      <c r="A285">
        <v>284</v>
      </c>
      <c r="B285" t="s">
        <v>20</v>
      </c>
      <c r="C285">
        <v>18</v>
      </c>
      <c r="D285" t="s">
        <v>21</v>
      </c>
      <c r="E285" t="s">
        <v>22</v>
      </c>
      <c r="F285" t="s">
        <v>24</v>
      </c>
      <c r="G285" t="s">
        <v>112</v>
      </c>
      <c r="H285">
        <v>1</v>
      </c>
      <c r="I285" t="str">
        <f>_xlfn.XLOOKUP(tbl_Students[[#This Row],[school_id]],tbl_Schools[school_id],tbl_Schools[school_name],"Unknown")</f>
        <v>Gabriel Pereira</v>
      </c>
      <c r="J285" t="str">
        <f t="shared" si="4"/>
        <v>17-18</v>
      </c>
    </row>
    <row r="286" spans="1:10" x14ac:dyDescent="0.35">
      <c r="A286">
        <v>285</v>
      </c>
      <c r="B286" t="s">
        <v>20</v>
      </c>
      <c r="C286">
        <v>17</v>
      </c>
      <c r="D286" t="s">
        <v>21</v>
      </c>
      <c r="E286" t="s">
        <v>22</v>
      </c>
      <c r="F286" t="s">
        <v>24</v>
      </c>
      <c r="G286" t="s">
        <v>112</v>
      </c>
      <c r="H286">
        <v>1</v>
      </c>
      <c r="I286" t="str">
        <f>_xlfn.XLOOKUP(tbl_Students[[#This Row],[school_id]],tbl_Schools[school_id],tbl_Schools[school_name],"Unknown")</f>
        <v>Gabriel Pereira</v>
      </c>
      <c r="J286" t="str">
        <f t="shared" si="4"/>
        <v>17-18</v>
      </c>
    </row>
    <row r="287" spans="1:10" x14ac:dyDescent="0.35">
      <c r="A287">
        <v>286</v>
      </c>
      <c r="B287" t="s">
        <v>26</v>
      </c>
      <c r="C287">
        <v>17</v>
      </c>
      <c r="D287" t="s">
        <v>21</v>
      </c>
      <c r="E287" t="s">
        <v>22</v>
      </c>
      <c r="F287" t="s">
        <v>24</v>
      </c>
      <c r="G287" t="s">
        <v>113</v>
      </c>
      <c r="H287">
        <v>1</v>
      </c>
      <c r="I287" t="str">
        <f>_xlfn.XLOOKUP(tbl_Students[[#This Row],[school_id]],tbl_Schools[school_id],tbl_Schools[school_name],"Unknown")</f>
        <v>Gabriel Pereira</v>
      </c>
      <c r="J287" t="str">
        <f t="shared" si="4"/>
        <v>17-18</v>
      </c>
    </row>
    <row r="288" spans="1:10" x14ac:dyDescent="0.35">
      <c r="A288">
        <v>287</v>
      </c>
      <c r="B288" t="s">
        <v>20</v>
      </c>
      <c r="C288">
        <v>18</v>
      </c>
      <c r="D288" t="s">
        <v>21</v>
      </c>
      <c r="E288" t="s">
        <v>22</v>
      </c>
      <c r="F288" t="s">
        <v>24</v>
      </c>
      <c r="G288" t="s">
        <v>112</v>
      </c>
      <c r="H288">
        <v>1</v>
      </c>
      <c r="I288" t="str">
        <f>_xlfn.XLOOKUP(tbl_Students[[#This Row],[school_id]],tbl_Schools[school_id],tbl_Schools[school_name],"Unknown")</f>
        <v>Gabriel Pereira</v>
      </c>
      <c r="J288" t="str">
        <f t="shared" si="4"/>
        <v>17-18</v>
      </c>
    </row>
    <row r="289" spans="1:10" x14ac:dyDescent="0.35">
      <c r="A289">
        <v>288</v>
      </c>
      <c r="B289" t="s">
        <v>20</v>
      </c>
      <c r="C289">
        <v>17</v>
      </c>
      <c r="D289" t="s">
        <v>21</v>
      </c>
      <c r="E289" t="s">
        <v>22</v>
      </c>
      <c r="F289" t="s">
        <v>24</v>
      </c>
      <c r="G289" t="s">
        <v>112</v>
      </c>
      <c r="H289">
        <v>1</v>
      </c>
      <c r="I289" t="str">
        <f>_xlfn.XLOOKUP(tbl_Students[[#This Row],[school_id]],tbl_Schools[school_id],tbl_Schools[school_name],"Unknown")</f>
        <v>Gabriel Pereira</v>
      </c>
      <c r="J289" t="str">
        <f t="shared" si="4"/>
        <v>17-18</v>
      </c>
    </row>
    <row r="290" spans="1:10" x14ac:dyDescent="0.35">
      <c r="A290">
        <v>289</v>
      </c>
      <c r="B290" t="s">
        <v>26</v>
      </c>
      <c r="C290">
        <v>18</v>
      </c>
      <c r="D290" t="s">
        <v>21</v>
      </c>
      <c r="E290" t="s">
        <v>22</v>
      </c>
      <c r="F290" t="s">
        <v>24</v>
      </c>
      <c r="G290" t="s">
        <v>112</v>
      </c>
      <c r="H290">
        <v>1</v>
      </c>
      <c r="I290" t="str">
        <f>_xlfn.XLOOKUP(tbl_Students[[#This Row],[school_id]],tbl_Schools[school_id],tbl_Schools[school_name],"Unknown")</f>
        <v>Gabriel Pereira</v>
      </c>
      <c r="J290" t="str">
        <f t="shared" si="4"/>
        <v>17-18</v>
      </c>
    </row>
    <row r="291" spans="1:10" x14ac:dyDescent="0.35">
      <c r="A291">
        <v>290</v>
      </c>
      <c r="B291" t="s">
        <v>26</v>
      </c>
      <c r="C291">
        <v>18</v>
      </c>
      <c r="D291" t="s">
        <v>21</v>
      </c>
      <c r="E291" t="s">
        <v>25</v>
      </c>
      <c r="F291" t="s">
        <v>23</v>
      </c>
      <c r="G291" t="s">
        <v>112</v>
      </c>
      <c r="H291">
        <v>1</v>
      </c>
      <c r="I291" t="str">
        <f>_xlfn.XLOOKUP(tbl_Students[[#This Row],[school_id]],tbl_Schools[school_id],tbl_Schools[school_name],"Unknown")</f>
        <v>Gabriel Pereira</v>
      </c>
      <c r="J291" t="str">
        <f t="shared" si="4"/>
        <v>17-18</v>
      </c>
    </row>
    <row r="292" spans="1:10" x14ac:dyDescent="0.35">
      <c r="A292">
        <v>291</v>
      </c>
      <c r="B292" t="s">
        <v>26</v>
      </c>
      <c r="C292">
        <v>18</v>
      </c>
      <c r="D292" t="s">
        <v>21</v>
      </c>
      <c r="E292" t="s">
        <v>22</v>
      </c>
      <c r="F292" t="s">
        <v>24</v>
      </c>
      <c r="G292" t="s">
        <v>112</v>
      </c>
      <c r="H292">
        <v>1</v>
      </c>
      <c r="I292" t="str">
        <f>_xlfn.XLOOKUP(tbl_Students[[#This Row],[school_id]],tbl_Schools[school_id],tbl_Schools[school_name],"Unknown")</f>
        <v>Gabriel Pereira</v>
      </c>
      <c r="J292" t="str">
        <f t="shared" si="4"/>
        <v>17-18</v>
      </c>
    </row>
    <row r="293" spans="1:10" x14ac:dyDescent="0.35">
      <c r="A293">
        <v>292</v>
      </c>
      <c r="B293" t="s">
        <v>20</v>
      </c>
      <c r="C293">
        <v>17</v>
      </c>
      <c r="D293" t="s">
        <v>21</v>
      </c>
      <c r="E293" t="s">
        <v>22</v>
      </c>
      <c r="F293" t="s">
        <v>24</v>
      </c>
      <c r="G293" t="s">
        <v>112</v>
      </c>
      <c r="H293">
        <v>1</v>
      </c>
      <c r="I293" t="str">
        <f>_xlfn.XLOOKUP(tbl_Students[[#This Row],[school_id]],tbl_Schools[school_id],tbl_Schools[school_name],"Unknown")</f>
        <v>Gabriel Pereira</v>
      </c>
      <c r="J293" t="str">
        <f t="shared" si="4"/>
        <v>17-18</v>
      </c>
    </row>
    <row r="294" spans="1:10" x14ac:dyDescent="0.35">
      <c r="A294">
        <v>293</v>
      </c>
      <c r="B294" t="s">
        <v>20</v>
      </c>
      <c r="C294">
        <v>18</v>
      </c>
      <c r="D294" t="s">
        <v>21</v>
      </c>
      <c r="E294" t="s">
        <v>25</v>
      </c>
      <c r="F294" t="s">
        <v>24</v>
      </c>
      <c r="G294" t="s">
        <v>112</v>
      </c>
      <c r="H294">
        <v>1</v>
      </c>
      <c r="I294" t="str">
        <f>_xlfn.XLOOKUP(tbl_Students[[#This Row],[school_id]],tbl_Schools[school_id],tbl_Schools[school_name],"Unknown")</f>
        <v>Gabriel Pereira</v>
      </c>
      <c r="J294" t="str">
        <f t="shared" si="4"/>
        <v>17-18</v>
      </c>
    </row>
    <row r="295" spans="1:10" x14ac:dyDescent="0.35">
      <c r="A295">
        <v>294</v>
      </c>
      <c r="B295" t="s">
        <v>20</v>
      </c>
      <c r="C295">
        <v>17</v>
      </c>
      <c r="D295" t="s">
        <v>28</v>
      </c>
      <c r="E295" t="s">
        <v>25</v>
      </c>
      <c r="F295" t="s">
        <v>24</v>
      </c>
      <c r="G295" t="s">
        <v>112</v>
      </c>
      <c r="H295">
        <v>1</v>
      </c>
      <c r="I295" t="str">
        <f>_xlfn.XLOOKUP(tbl_Students[[#This Row],[school_id]],tbl_Schools[school_id],tbl_Schools[school_name],"Unknown")</f>
        <v>Gabriel Pereira</v>
      </c>
      <c r="J295" t="str">
        <f t="shared" si="4"/>
        <v>17-18</v>
      </c>
    </row>
    <row r="296" spans="1:10" x14ac:dyDescent="0.35">
      <c r="A296">
        <v>295</v>
      </c>
      <c r="B296" t="s">
        <v>26</v>
      </c>
      <c r="C296">
        <v>18</v>
      </c>
      <c r="D296" t="s">
        <v>28</v>
      </c>
      <c r="E296" t="s">
        <v>25</v>
      </c>
      <c r="F296" t="s">
        <v>24</v>
      </c>
      <c r="G296" t="s">
        <v>112</v>
      </c>
      <c r="H296">
        <v>1</v>
      </c>
      <c r="I296" t="str">
        <f>_xlfn.XLOOKUP(tbl_Students[[#This Row],[school_id]],tbl_Schools[school_id],tbl_Schools[school_name],"Unknown")</f>
        <v>Gabriel Pereira</v>
      </c>
      <c r="J296" t="str">
        <f t="shared" si="4"/>
        <v>17-18</v>
      </c>
    </row>
    <row r="297" spans="1:10" x14ac:dyDescent="0.35">
      <c r="A297">
        <v>296</v>
      </c>
      <c r="B297" t="s">
        <v>26</v>
      </c>
      <c r="C297">
        <v>17</v>
      </c>
      <c r="D297" t="s">
        <v>21</v>
      </c>
      <c r="E297" t="s">
        <v>22</v>
      </c>
      <c r="F297" t="s">
        <v>24</v>
      </c>
      <c r="G297" t="s">
        <v>112</v>
      </c>
      <c r="H297">
        <v>1</v>
      </c>
      <c r="I297" t="str">
        <f>_xlfn.XLOOKUP(tbl_Students[[#This Row],[school_id]],tbl_Schools[school_id],tbl_Schools[school_name],"Unknown")</f>
        <v>Gabriel Pereira</v>
      </c>
      <c r="J297" t="str">
        <f t="shared" si="4"/>
        <v>17-18</v>
      </c>
    </row>
    <row r="298" spans="1:10" x14ac:dyDescent="0.35">
      <c r="A298">
        <v>297</v>
      </c>
      <c r="B298" t="s">
        <v>20</v>
      </c>
      <c r="C298">
        <v>19</v>
      </c>
      <c r="D298" t="s">
        <v>21</v>
      </c>
      <c r="E298" t="s">
        <v>22</v>
      </c>
      <c r="F298" t="s">
        <v>24</v>
      </c>
      <c r="G298" t="s">
        <v>27</v>
      </c>
      <c r="H298">
        <v>1</v>
      </c>
      <c r="I298" t="str">
        <f>_xlfn.XLOOKUP(tbl_Students[[#This Row],[school_id]],tbl_Schools[school_id],tbl_Schools[school_name],"Unknown")</f>
        <v>Gabriel Pereira</v>
      </c>
      <c r="J298" t="str">
        <f t="shared" si="4"/>
        <v>19-20</v>
      </c>
    </row>
    <row r="299" spans="1:10" x14ac:dyDescent="0.35">
      <c r="A299">
        <v>298</v>
      </c>
      <c r="B299" t="s">
        <v>20</v>
      </c>
      <c r="C299">
        <v>18</v>
      </c>
      <c r="D299" t="s">
        <v>21</v>
      </c>
      <c r="E299" t="s">
        <v>25</v>
      </c>
      <c r="F299" t="s">
        <v>24</v>
      </c>
      <c r="G299" t="s">
        <v>27</v>
      </c>
      <c r="H299">
        <v>1</v>
      </c>
      <c r="I299" t="str">
        <f>_xlfn.XLOOKUP(tbl_Students[[#This Row],[school_id]],tbl_Schools[school_id],tbl_Schools[school_name],"Unknown")</f>
        <v>Gabriel Pereira</v>
      </c>
      <c r="J299" t="str">
        <f t="shared" si="4"/>
        <v>17-18</v>
      </c>
    </row>
    <row r="300" spans="1:10" x14ac:dyDescent="0.35">
      <c r="A300">
        <v>299</v>
      </c>
      <c r="B300" t="s">
        <v>20</v>
      </c>
      <c r="C300">
        <v>18</v>
      </c>
      <c r="D300" t="s">
        <v>21</v>
      </c>
      <c r="E300" t="s">
        <v>22</v>
      </c>
      <c r="F300" t="s">
        <v>24</v>
      </c>
      <c r="G300" t="s">
        <v>113</v>
      </c>
      <c r="H300">
        <v>1</v>
      </c>
      <c r="I300" t="str">
        <f>_xlfn.XLOOKUP(tbl_Students[[#This Row],[school_id]],tbl_Schools[school_id],tbl_Schools[school_name],"Unknown")</f>
        <v>Gabriel Pereira</v>
      </c>
      <c r="J300" t="str">
        <f t="shared" si="4"/>
        <v>17-18</v>
      </c>
    </row>
    <row r="301" spans="1:10" x14ac:dyDescent="0.35">
      <c r="A301">
        <v>300</v>
      </c>
      <c r="B301" t="s">
        <v>26</v>
      </c>
      <c r="C301">
        <v>18</v>
      </c>
      <c r="D301" t="s">
        <v>21</v>
      </c>
      <c r="E301" t="s">
        <v>25</v>
      </c>
      <c r="F301" t="s">
        <v>24</v>
      </c>
      <c r="G301" t="s">
        <v>112</v>
      </c>
      <c r="H301">
        <v>1</v>
      </c>
      <c r="I301" t="str">
        <f>_xlfn.XLOOKUP(tbl_Students[[#This Row],[school_id]],tbl_Schools[school_id],tbl_Schools[school_name],"Unknown")</f>
        <v>Gabriel Pereira</v>
      </c>
      <c r="J301" t="str">
        <f t="shared" si="4"/>
        <v>17-18</v>
      </c>
    </row>
    <row r="302" spans="1:10" x14ac:dyDescent="0.35">
      <c r="A302">
        <v>301</v>
      </c>
      <c r="B302" t="s">
        <v>20</v>
      </c>
      <c r="C302">
        <v>18</v>
      </c>
      <c r="D302" t="s">
        <v>21</v>
      </c>
      <c r="E302" t="s">
        <v>25</v>
      </c>
      <c r="F302" t="s">
        <v>23</v>
      </c>
      <c r="G302" t="s">
        <v>112</v>
      </c>
      <c r="H302">
        <v>1</v>
      </c>
      <c r="I302" t="str">
        <f>_xlfn.XLOOKUP(tbl_Students[[#This Row],[school_id]],tbl_Schools[school_id],tbl_Schools[school_name],"Unknown")</f>
        <v>Gabriel Pereira</v>
      </c>
      <c r="J302" t="str">
        <f t="shared" si="4"/>
        <v>17-18</v>
      </c>
    </row>
    <row r="303" spans="1:10" x14ac:dyDescent="0.35">
      <c r="A303">
        <v>302</v>
      </c>
      <c r="B303" t="s">
        <v>26</v>
      </c>
      <c r="C303">
        <v>17</v>
      </c>
      <c r="D303" t="s">
        <v>21</v>
      </c>
      <c r="E303" t="s">
        <v>25</v>
      </c>
      <c r="F303" t="s">
        <v>24</v>
      </c>
      <c r="G303" t="s">
        <v>113</v>
      </c>
      <c r="H303">
        <v>1</v>
      </c>
      <c r="I303" t="str">
        <f>_xlfn.XLOOKUP(tbl_Students[[#This Row],[school_id]],tbl_Schools[school_id],tbl_Schools[school_name],"Unknown")</f>
        <v>Gabriel Pereira</v>
      </c>
      <c r="J303" t="str">
        <f t="shared" si="4"/>
        <v>17-18</v>
      </c>
    </row>
    <row r="304" spans="1:10" x14ac:dyDescent="0.35">
      <c r="A304">
        <v>303</v>
      </c>
      <c r="B304" t="s">
        <v>20</v>
      </c>
      <c r="C304">
        <v>17</v>
      </c>
      <c r="D304" t="s">
        <v>21</v>
      </c>
      <c r="E304" t="s">
        <v>22</v>
      </c>
      <c r="F304" t="s">
        <v>24</v>
      </c>
      <c r="G304" t="s">
        <v>112</v>
      </c>
      <c r="H304">
        <v>1</v>
      </c>
      <c r="I304" t="str">
        <f>_xlfn.XLOOKUP(tbl_Students[[#This Row],[school_id]],tbl_Schools[school_id],tbl_Schools[school_name],"Unknown")</f>
        <v>Gabriel Pereira</v>
      </c>
      <c r="J304" t="str">
        <f t="shared" si="4"/>
        <v>17-18</v>
      </c>
    </row>
    <row r="305" spans="1:10" x14ac:dyDescent="0.35">
      <c r="A305">
        <v>304</v>
      </c>
      <c r="B305" t="s">
        <v>20</v>
      </c>
      <c r="C305">
        <v>17</v>
      </c>
      <c r="D305" t="s">
        <v>21</v>
      </c>
      <c r="E305" t="s">
        <v>22</v>
      </c>
      <c r="F305" t="s">
        <v>24</v>
      </c>
      <c r="G305" t="s">
        <v>113</v>
      </c>
      <c r="H305">
        <v>1</v>
      </c>
      <c r="I305" t="str">
        <f>_xlfn.XLOOKUP(tbl_Students[[#This Row],[school_id]],tbl_Schools[school_id],tbl_Schools[school_name],"Unknown")</f>
        <v>Gabriel Pereira</v>
      </c>
      <c r="J305" t="str">
        <f t="shared" si="4"/>
        <v>17-18</v>
      </c>
    </row>
    <row r="306" spans="1:10" x14ac:dyDescent="0.35">
      <c r="A306">
        <v>305</v>
      </c>
      <c r="B306" t="s">
        <v>26</v>
      </c>
      <c r="C306">
        <v>19</v>
      </c>
      <c r="D306" t="s">
        <v>21</v>
      </c>
      <c r="E306" t="s">
        <v>22</v>
      </c>
      <c r="F306" t="s">
        <v>24</v>
      </c>
      <c r="G306" t="s">
        <v>27</v>
      </c>
      <c r="H306">
        <v>1</v>
      </c>
      <c r="I306" t="str">
        <f>_xlfn.XLOOKUP(tbl_Students[[#This Row],[school_id]],tbl_Schools[school_id],tbl_Schools[school_name],"Unknown")</f>
        <v>Gabriel Pereira</v>
      </c>
      <c r="J306" t="str">
        <f t="shared" si="4"/>
        <v>19-20</v>
      </c>
    </row>
    <row r="307" spans="1:10" x14ac:dyDescent="0.35">
      <c r="A307">
        <v>306</v>
      </c>
      <c r="B307" t="s">
        <v>20</v>
      </c>
      <c r="C307">
        <v>18</v>
      </c>
      <c r="D307" t="s">
        <v>21</v>
      </c>
      <c r="E307" t="s">
        <v>22</v>
      </c>
      <c r="F307" t="s">
        <v>24</v>
      </c>
      <c r="G307" t="s">
        <v>27</v>
      </c>
      <c r="H307">
        <v>1</v>
      </c>
      <c r="I307" t="str">
        <f>_xlfn.XLOOKUP(tbl_Students[[#This Row],[school_id]],tbl_Schools[school_id],tbl_Schools[school_name],"Unknown")</f>
        <v>Gabriel Pereira</v>
      </c>
      <c r="J307" t="str">
        <f t="shared" si="4"/>
        <v>17-18</v>
      </c>
    </row>
    <row r="308" spans="1:10" x14ac:dyDescent="0.35">
      <c r="A308">
        <v>307</v>
      </c>
      <c r="B308" t="s">
        <v>26</v>
      </c>
      <c r="C308">
        <v>20</v>
      </c>
      <c r="D308" t="s">
        <v>21</v>
      </c>
      <c r="E308" t="s">
        <v>22</v>
      </c>
      <c r="F308" t="s">
        <v>23</v>
      </c>
      <c r="G308" t="s">
        <v>27</v>
      </c>
      <c r="H308">
        <v>1</v>
      </c>
      <c r="I308" t="str">
        <f>_xlfn.XLOOKUP(tbl_Students[[#This Row],[school_id]],tbl_Schools[school_id],tbl_Schools[school_name],"Unknown")</f>
        <v>Gabriel Pereira</v>
      </c>
      <c r="J308" t="str">
        <f t="shared" si="4"/>
        <v>19-20</v>
      </c>
    </row>
    <row r="309" spans="1:10" x14ac:dyDescent="0.35">
      <c r="A309">
        <v>308</v>
      </c>
      <c r="B309" t="s">
        <v>26</v>
      </c>
      <c r="C309">
        <v>19</v>
      </c>
      <c r="D309" t="s">
        <v>21</v>
      </c>
      <c r="E309" t="s">
        <v>22</v>
      </c>
      <c r="F309" t="s">
        <v>24</v>
      </c>
      <c r="G309" t="s">
        <v>27</v>
      </c>
      <c r="H309">
        <v>1</v>
      </c>
      <c r="I309" t="str">
        <f>_xlfn.XLOOKUP(tbl_Students[[#This Row],[school_id]],tbl_Schools[school_id],tbl_Schools[school_name],"Unknown")</f>
        <v>Gabriel Pereira</v>
      </c>
      <c r="J309" t="str">
        <f t="shared" si="4"/>
        <v>19-20</v>
      </c>
    </row>
    <row r="310" spans="1:10" x14ac:dyDescent="0.35">
      <c r="A310">
        <v>309</v>
      </c>
      <c r="B310" t="s">
        <v>26</v>
      </c>
      <c r="C310">
        <v>19</v>
      </c>
      <c r="D310" t="s">
        <v>28</v>
      </c>
      <c r="E310" t="s">
        <v>22</v>
      </c>
      <c r="F310" t="s">
        <v>24</v>
      </c>
      <c r="G310" t="s">
        <v>113</v>
      </c>
      <c r="H310">
        <v>1</v>
      </c>
      <c r="I310" t="str">
        <f>_xlfn.XLOOKUP(tbl_Students[[#This Row],[school_id]],tbl_Schools[school_id],tbl_Schools[school_name],"Unknown")</f>
        <v>Gabriel Pereira</v>
      </c>
      <c r="J310" t="str">
        <f t="shared" si="4"/>
        <v>19-20</v>
      </c>
    </row>
    <row r="311" spans="1:10" x14ac:dyDescent="0.35">
      <c r="A311">
        <v>310</v>
      </c>
      <c r="B311" t="s">
        <v>20</v>
      </c>
      <c r="C311">
        <v>19</v>
      </c>
      <c r="D311" t="s">
        <v>21</v>
      </c>
      <c r="E311" t="s">
        <v>25</v>
      </c>
      <c r="F311" t="s">
        <v>24</v>
      </c>
      <c r="G311" t="s">
        <v>27</v>
      </c>
      <c r="H311">
        <v>1</v>
      </c>
      <c r="I311" t="str">
        <f>_xlfn.XLOOKUP(tbl_Students[[#This Row],[school_id]],tbl_Schools[school_id],tbl_Schools[school_name],"Unknown")</f>
        <v>Gabriel Pereira</v>
      </c>
      <c r="J311" t="str">
        <f t="shared" si="4"/>
        <v>19-20</v>
      </c>
    </row>
    <row r="312" spans="1:10" x14ac:dyDescent="0.35">
      <c r="A312">
        <v>311</v>
      </c>
      <c r="B312" t="s">
        <v>20</v>
      </c>
      <c r="C312">
        <v>19</v>
      </c>
      <c r="D312" t="s">
        <v>21</v>
      </c>
      <c r="E312" t="s">
        <v>25</v>
      </c>
      <c r="F312" t="s">
        <v>24</v>
      </c>
      <c r="G312" t="s">
        <v>27</v>
      </c>
      <c r="H312">
        <v>1</v>
      </c>
      <c r="I312" t="str">
        <f>_xlfn.XLOOKUP(tbl_Students[[#This Row],[school_id]],tbl_Schools[school_id],tbl_Schools[school_name],"Unknown")</f>
        <v>Gabriel Pereira</v>
      </c>
      <c r="J312" t="str">
        <f t="shared" si="4"/>
        <v>19-20</v>
      </c>
    </row>
    <row r="313" spans="1:10" x14ac:dyDescent="0.35">
      <c r="A313">
        <v>312</v>
      </c>
      <c r="B313" t="s">
        <v>20</v>
      </c>
      <c r="C313">
        <v>19</v>
      </c>
      <c r="D313" t="s">
        <v>21</v>
      </c>
      <c r="E313" t="s">
        <v>22</v>
      </c>
      <c r="F313" t="s">
        <v>24</v>
      </c>
      <c r="G313" t="s">
        <v>27</v>
      </c>
      <c r="H313">
        <v>1</v>
      </c>
      <c r="I313" t="str">
        <f>_xlfn.XLOOKUP(tbl_Students[[#This Row],[school_id]],tbl_Schools[school_id],tbl_Schools[school_name],"Unknown")</f>
        <v>Gabriel Pereira</v>
      </c>
      <c r="J313" t="str">
        <f t="shared" si="4"/>
        <v>19-20</v>
      </c>
    </row>
    <row r="314" spans="1:10" x14ac:dyDescent="0.35">
      <c r="A314">
        <v>313</v>
      </c>
      <c r="B314" t="s">
        <v>26</v>
      </c>
      <c r="C314">
        <v>19</v>
      </c>
      <c r="D314" t="s">
        <v>21</v>
      </c>
      <c r="E314" t="s">
        <v>22</v>
      </c>
      <c r="F314" t="s">
        <v>24</v>
      </c>
      <c r="G314" t="s">
        <v>27</v>
      </c>
      <c r="H314">
        <v>1</v>
      </c>
      <c r="I314" t="str">
        <f>_xlfn.XLOOKUP(tbl_Students[[#This Row],[school_id]],tbl_Schools[school_id],tbl_Schools[school_name],"Unknown")</f>
        <v>Gabriel Pereira</v>
      </c>
      <c r="J314" t="str">
        <f t="shared" si="4"/>
        <v>19-20</v>
      </c>
    </row>
    <row r="315" spans="1:10" x14ac:dyDescent="0.35">
      <c r="A315">
        <v>314</v>
      </c>
      <c r="B315" t="s">
        <v>20</v>
      </c>
      <c r="C315">
        <v>19</v>
      </c>
      <c r="D315" t="s">
        <v>21</v>
      </c>
      <c r="E315" t="s">
        <v>25</v>
      </c>
      <c r="F315" t="s">
        <v>24</v>
      </c>
      <c r="G315" t="s">
        <v>27</v>
      </c>
      <c r="H315">
        <v>1</v>
      </c>
      <c r="I315" t="str">
        <f>_xlfn.XLOOKUP(tbl_Students[[#This Row],[school_id]],tbl_Schools[school_id],tbl_Schools[school_name],"Unknown")</f>
        <v>Gabriel Pereira</v>
      </c>
      <c r="J315" t="str">
        <f t="shared" si="4"/>
        <v>19-20</v>
      </c>
    </row>
    <row r="316" spans="1:10" x14ac:dyDescent="0.35">
      <c r="A316">
        <v>315</v>
      </c>
      <c r="B316" t="s">
        <v>20</v>
      </c>
      <c r="C316">
        <v>19</v>
      </c>
      <c r="D316" t="s">
        <v>21</v>
      </c>
      <c r="E316" t="s">
        <v>22</v>
      </c>
      <c r="F316" t="s">
        <v>24</v>
      </c>
      <c r="G316" t="s">
        <v>27</v>
      </c>
      <c r="H316">
        <v>1</v>
      </c>
      <c r="I316" t="str">
        <f>_xlfn.XLOOKUP(tbl_Students[[#This Row],[school_id]],tbl_Schools[school_id],tbl_Schools[school_name],"Unknown")</f>
        <v>Gabriel Pereira</v>
      </c>
      <c r="J316" t="str">
        <f t="shared" si="4"/>
        <v>19-20</v>
      </c>
    </row>
    <row r="317" spans="1:10" x14ac:dyDescent="0.35">
      <c r="A317">
        <v>316</v>
      </c>
      <c r="B317" t="s">
        <v>20</v>
      </c>
      <c r="C317">
        <v>19</v>
      </c>
      <c r="D317" t="s">
        <v>28</v>
      </c>
      <c r="E317" t="s">
        <v>22</v>
      </c>
      <c r="F317" t="s">
        <v>24</v>
      </c>
      <c r="G317" t="s">
        <v>27</v>
      </c>
      <c r="H317">
        <v>1</v>
      </c>
      <c r="I317" t="str">
        <f>_xlfn.XLOOKUP(tbl_Students[[#This Row],[school_id]],tbl_Schools[school_id],tbl_Schools[school_name],"Unknown")</f>
        <v>Gabriel Pereira</v>
      </c>
      <c r="J317" t="str">
        <f t="shared" si="4"/>
        <v>19-20</v>
      </c>
    </row>
    <row r="318" spans="1:10" x14ac:dyDescent="0.35">
      <c r="A318">
        <v>317</v>
      </c>
      <c r="B318" t="s">
        <v>20</v>
      </c>
      <c r="C318">
        <v>18</v>
      </c>
      <c r="D318" t="s">
        <v>21</v>
      </c>
      <c r="E318" t="s">
        <v>22</v>
      </c>
      <c r="F318" t="s">
        <v>24</v>
      </c>
      <c r="G318" t="s">
        <v>112</v>
      </c>
      <c r="H318">
        <v>1</v>
      </c>
      <c r="I318" t="str">
        <f>_xlfn.XLOOKUP(tbl_Students[[#This Row],[school_id]],tbl_Schools[school_id],tbl_Schools[school_name],"Unknown")</f>
        <v>Gabriel Pereira</v>
      </c>
      <c r="J318" t="str">
        <f t="shared" si="4"/>
        <v>17-18</v>
      </c>
    </row>
    <row r="319" spans="1:10" x14ac:dyDescent="0.35">
      <c r="A319">
        <v>318</v>
      </c>
      <c r="B319" t="s">
        <v>20</v>
      </c>
      <c r="C319">
        <v>18</v>
      </c>
      <c r="D319" t="s">
        <v>21</v>
      </c>
      <c r="E319" t="s">
        <v>22</v>
      </c>
      <c r="F319" t="s">
        <v>24</v>
      </c>
      <c r="G319" t="s">
        <v>112</v>
      </c>
      <c r="H319">
        <v>1</v>
      </c>
      <c r="I319" t="str">
        <f>_xlfn.XLOOKUP(tbl_Students[[#This Row],[school_id]],tbl_Schools[school_id],tbl_Schools[school_name],"Unknown")</f>
        <v>Gabriel Pereira</v>
      </c>
      <c r="J319" t="str">
        <f t="shared" si="4"/>
        <v>17-18</v>
      </c>
    </row>
    <row r="320" spans="1:10" x14ac:dyDescent="0.35">
      <c r="A320">
        <v>319</v>
      </c>
      <c r="B320" t="s">
        <v>20</v>
      </c>
      <c r="C320">
        <v>17</v>
      </c>
      <c r="D320" t="s">
        <v>28</v>
      </c>
      <c r="E320" t="s">
        <v>22</v>
      </c>
      <c r="F320" t="s">
        <v>24</v>
      </c>
      <c r="G320" t="s">
        <v>113</v>
      </c>
      <c r="H320">
        <v>1</v>
      </c>
      <c r="I320" t="str">
        <f>_xlfn.XLOOKUP(tbl_Students[[#This Row],[school_id]],tbl_Schools[school_id],tbl_Schools[school_name],"Unknown")</f>
        <v>Gabriel Pereira</v>
      </c>
      <c r="J320" t="str">
        <f t="shared" si="4"/>
        <v>17-18</v>
      </c>
    </row>
    <row r="321" spans="1:10" x14ac:dyDescent="0.35">
      <c r="A321">
        <v>320</v>
      </c>
      <c r="B321" t="s">
        <v>20</v>
      </c>
      <c r="C321">
        <v>18</v>
      </c>
      <c r="D321" t="s">
        <v>21</v>
      </c>
      <c r="E321" t="s">
        <v>22</v>
      </c>
      <c r="F321" t="s">
        <v>24</v>
      </c>
      <c r="G321" t="s">
        <v>112</v>
      </c>
      <c r="H321">
        <v>1</v>
      </c>
      <c r="I321" t="str">
        <f>_xlfn.XLOOKUP(tbl_Students[[#This Row],[school_id]],tbl_Schools[school_id],tbl_Schools[school_name],"Unknown")</f>
        <v>Gabriel Pereira</v>
      </c>
      <c r="J321" t="str">
        <f t="shared" si="4"/>
        <v>17-18</v>
      </c>
    </row>
    <row r="322" spans="1:10" x14ac:dyDescent="0.35">
      <c r="A322">
        <v>321</v>
      </c>
      <c r="B322" t="s">
        <v>20</v>
      </c>
      <c r="C322">
        <v>17</v>
      </c>
      <c r="D322" t="s">
        <v>21</v>
      </c>
      <c r="E322" t="s">
        <v>22</v>
      </c>
      <c r="F322" t="s">
        <v>23</v>
      </c>
      <c r="G322" t="s">
        <v>112</v>
      </c>
      <c r="H322">
        <v>1</v>
      </c>
      <c r="I322" t="str">
        <f>_xlfn.XLOOKUP(tbl_Students[[#This Row],[school_id]],tbl_Schools[school_id],tbl_Schools[school_name],"Unknown")</f>
        <v>Gabriel Pereira</v>
      </c>
      <c r="J322" t="str">
        <f t="shared" ref="J322:J385" si="5">IF(C322&lt;=16,"15-16",IF(C322&lt;=18,"17-18",IF(C322&lt;=20,"19-20","21-22")))</f>
        <v>17-18</v>
      </c>
    </row>
    <row r="323" spans="1:10" x14ac:dyDescent="0.35">
      <c r="A323">
        <v>322</v>
      </c>
      <c r="B323" t="s">
        <v>20</v>
      </c>
      <c r="C323">
        <v>17</v>
      </c>
      <c r="D323" t="s">
        <v>21</v>
      </c>
      <c r="E323" t="s">
        <v>22</v>
      </c>
      <c r="F323" t="s">
        <v>24</v>
      </c>
      <c r="G323" t="s">
        <v>112</v>
      </c>
      <c r="H323">
        <v>1</v>
      </c>
      <c r="I323" t="str">
        <f>_xlfn.XLOOKUP(tbl_Students[[#This Row],[school_id]],tbl_Schools[school_id],tbl_Schools[school_name],"Unknown")</f>
        <v>Gabriel Pereira</v>
      </c>
      <c r="J323" t="str">
        <f t="shared" si="5"/>
        <v>17-18</v>
      </c>
    </row>
    <row r="324" spans="1:10" x14ac:dyDescent="0.35">
      <c r="A324">
        <v>323</v>
      </c>
      <c r="B324" t="s">
        <v>20</v>
      </c>
      <c r="C324">
        <v>17</v>
      </c>
      <c r="D324" t="s">
        <v>28</v>
      </c>
      <c r="E324" t="s">
        <v>25</v>
      </c>
      <c r="F324" t="s">
        <v>24</v>
      </c>
      <c r="G324" t="s">
        <v>112</v>
      </c>
      <c r="H324">
        <v>1</v>
      </c>
      <c r="I324" t="str">
        <f>_xlfn.XLOOKUP(tbl_Students[[#This Row],[school_id]],tbl_Schools[school_id],tbl_Schools[school_name],"Unknown")</f>
        <v>Gabriel Pereira</v>
      </c>
      <c r="J324" t="str">
        <f t="shared" si="5"/>
        <v>17-18</v>
      </c>
    </row>
    <row r="325" spans="1:10" x14ac:dyDescent="0.35">
      <c r="A325">
        <v>324</v>
      </c>
      <c r="B325" t="s">
        <v>20</v>
      </c>
      <c r="C325">
        <v>17</v>
      </c>
      <c r="D325" t="s">
        <v>21</v>
      </c>
      <c r="E325" t="s">
        <v>22</v>
      </c>
      <c r="F325" t="s">
        <v>24</v>
      </c>
      <c r="G325" t="s">
        <v>113</v>
      </c>
      <c r="H325">
        <v>1</v>
      </c>
      <c r="I325" t="str">
        <f>_xlfn.XLOOKUP(tbl_Students[[#This Row],[school_id]],tbl_Schools[school_id],tbl_Schools[school_name],"Unknown")</f>
        <v>Gabriel Pereira</v>
      </c>
      <c r="J325" t="str">
        <f t="shared" si="5"/>
        <v>17-18</v>
      </c>
    </row>
    <row r="326" spans="1:10" x14ac:dyDescent="0.35">
      <c r="A326">
        <v>325</v>
      </c>
      <c r="B326" t="s">
        <v>20</v>
      </c>
      <c r="C326">
        <v>17</v>
      </c>
      <c r="D326" t="s">
        <v>21</v>
      </c>
      <c r="E326" t="s">
        <v>25</v>
      </c>
      <c r="F326" t="s">
        <v>24</v>
      </c>
      <c r="G326" t="s">
        <v>113</v>
      </c>
      <c r="H326">
        <v>1</v>
      </c>
      <c r="I326" t="str">
        <f>_xlfn.XLOOKUP(tbl_Students[[#This Row],[school_id]],tbl_Schools[school_id],tbl_Schools[school_name],"Unknown")</f>
        <v>Gabriel Pereira</v>
      </c>
      <c r="J326" t="str">
        <f t="shared" si="5"/>
        <v>17-18</v>
      </c>
    </row>
    <row r="327" spans="1:10" x14ac:dyDescent="0.35">
      <c r="A327">
        <v>326</v>
      </c>
      <c r="B327" t="s">
        <v>26</v>
      </c>
      <c r="C327">
        <v>18</v>
      </c>
      <c r="D327" t="s">
        <v>21</v>
      </c>
      <c r="E327" t="s">
        <v>22</v>
      </c>
      <c r="F327" t="s">
        <v>24</v>
      </c>
      <c r="G327" t="s">
        <v>112</v>
      </c>
      <c r="H327">
        <v>1</v>
      </c>
      <c r="I327" t="str">
        <f>_xlfn.XLOOKUP(tbl_Students[[#This Row],[school_id]],tbl_Schools[school_id],tbl_Schools[school_name],"Unknown")</f>
        <v>Gabriel Pereira</v>
      </c>
      <c r="J327" t="str">
        <f t="shared" si="5"/>
        <v>17-18</v>
      </c>
    </row>
    <row r="328" spans="1:10" x14ac:dyDescent="0.35">
      <c r="A328">
        <v>327</v>
      </c>
      <c r="B328" t="s">
        <v>26</v>
      </c>
      <c r="C328">
        <v>17</v>
      </c>
      <c r="D328" t="s">
        <v>21</v>
      </c>
      <c r="E328" t="s">
        <v>22</v>
      </c>
      <c r="F328" t="s">
        <v>24</v>
      </c>
      <c r="G328" t="s">
        <v>112</v>
      </c>
      <c r="H328">
        <v>1</v>
      </c>
      <c r="I328" t="str">
        <f>_xlfn.XLOOKUP(tbl_Students[[#This Row],[school_id]],tbl_Schools[school_id],tbl_Schools[school_name],"Unknown")</f>
        <v>Gabriel Pereira</v>
      </c>
      <c r="J328" t="str">
        <f t="shared" si="5"/>
        <v>17-18</v>
      </c>
    </row>
    <row r="329" spans="1:10" x14ac:dyDescent="0.35">
      <c r="A329">
        <v>328</v>
      </c>
      <c r="B329" t="s">
        <v>26</v>
      </c>
      <c r="C329">
        <v>17</v>
      </c>
      <c r="D329" t="s">
        <v>28</v>
      </c>
      <c r="E329" t="s">
        <v>22</v>
      </c>
      <c r="F329" t="s">
        <v>24</v>
      </c>
      <c r="G329" t="s">
        <v>112</v>
      </c>
      <c r="H329">
        <v>1</v>
      </c>
      <c r="I329" t="str">
        <f>_xlfn.XLOOKUP(tbl_Students[[#This Row],[school_id]],tbl_Schools[school_id],tbl_Schools[school_name],"Unknown")</f>
        <v>Gabriel Pereira</v>
      </c>
      <c r="J329" t="str">
        <f t="shared" si="5"/>
        <v>17-18</v>
      </c>
    </row>
    <row r="330" spans="1:10" x14ac:dyDescent="0.35">
      <c r="A330">
        <v>329</v>
      </c>
      <c r="B330" t="s">
        <v>20</v>
      </c>
      <c r="C330">
        <v>17</v>
      </c>
      <c r="D330" t="s">
        <v>21</v>
      </c>
      <c r="E330" t="s">
        <v>22</v>
      </c>
      <c r="F330" t="s">
        <v>24</v>
      </c>
      <c r="G330" t="s">
        <v>112</v>
      </c>
      <c r="H330">
        <v>1</v>
      </c>
      <c r="I330" t="str">
        <f>_xlfn.XLOOKUP(tbl_Students[[#This Row],[school_id]],tbl_Schools[school_id],tbl_Schools[school_name],"Unknown")</f>
        <v>Gabriel Pereira</v>
      </c>
      <c r="J330" t="str">
        <f t="shared" si="5"/>
        <v>17-18</v>
      </c>
    </row>
    <row r="331" spans="1:10" x14ac:dyDescent="0.35">
      <c r="A331">
        <v>330</v>
      </c>
      <c r="B331" t="s">
        <v>20</v>
      </c>
      <c r="C331">
        <v>17</v>
      </c>
      <c r="D331" t="s">
        <v>21</v>
      </c>
      <c r="E331" t="s">
        <v>22</v>
      </c>
      <c r="F331" t="s">
        <v>24</v>
      </c>
      <c r="G331" t="s">
        <v>112</v>
      </c>
      <c r="H331">
        <v>1</v>
      </c>
      <c r="I331" t="str">
        <f>_xlfn.XLOOKUP(tbl_Students[[#This Row],[school_id]],tbl_Schools[school_id],tbl_Schools[school_name],"Unknown")</f>
        <v>Gabriel Pereira</v>
      </c>
      <c r="J331" t="str">
        <f t="shared" si="5"/>
        <v>17-18</v>
      </c>
    </row>
    <row r="332" spans="1:10" x14ac:dyDescent="0.35">
      <c r="A332">
        <v>331</v>
      </c>
      <c r="B332" t="s">
        <v>26</v>
      </c>
      <c r="C332">
        <v>18</v>
      </c>
      <c r="D332" t="s">
        <v>21</v>
      </c>
      <c r="E332" t="s">
        <v>25</v>
      </c>
      <c r="F332" t="s">
        <v>24</v>
      </c>
      <c r="G332" t="s">
        <v>112</v>
      </c>
      <c r="H332">
        <v>1</v>
      </c>
      <c r="I332" t="str">
        <f>_xlfn.XLOOKUP(tbl_Students[[#This Row],[school_id]],tbl_Schools[school_id],tbl_Schools[school_name],"Unknown")</f>
        <v>Gabriel Pereira</v>
      </c>
      <c r="J332" t="str">
        <f t="shared" si="5"/>
        <v>17-18</v>
      </c>
    </row>
    <row r="333" spans="1:10" x14ac:dyDescent="0.35">
      <c r="A333">
        <v>332</v>
      </c>
      <c r="B333" t="s">
        <v>20</v>
      </c>
      <c r="C333">
        <v>17</v>
      </c>
      <c r="D333" t="s">
        <v>28</v>
      </c>
      <c r="E333" t="s">
        <v>22</v>
      </c>
      <c r="F333" t="s">
        <v>24</v>
      </c>
      <c r="G333" t="s">
        <v>113</v>
      </c>
      <c r="H333">
        <v>1</v>
      </c>
      <c r="I333" t="str">
        <f>_xlfn.XLOOKUP(tbl_Students[[#This Row],[school_id]],tbl_Schools[school_id],tbl_Schools[school_name],"Unknown")</f>
        <v>Gabriel Pereira</v>
      </c>
      <c r="J333" t="str">
        <f t="shared" si="5"/>
        <v>17-18</v>
      </c>
    </row>
    <row r="334" spans="1:10" x14ac:dyDescent="0.35">
      <c r="A334">
        <v>333</v>
      </c>
      <c r="B334" t="s">
        <v>20</v>
      </c>
      <c r="C334">
        <v>18</v>
      </c>
      <c r="D334" t="s">
        <v>21</v>
      </c>
      <c r="E334" t="s">
        <v>22</v>
      </c>
      <c r="F334" t="s">
        <v>24</v>
      </c>
      <c r="G334" t="s">
        <v>112</v>
      </c>
      <c r="H334">
        <v>1</v>
      </c>
      <c r="I334" t="str">
        <f>_xlfn.XLOOKUP(tbl_Students[[#This Row],[school_id]],tbl_Schools[school_id],tbl_Schools[school_name],"Unknown")</f>
        <v>Gabriel Pereira</v>
      </c>
      <c r="J334" t="str">
        <f t="shared" si="5"/>
        <v>17-18</v>
      </c>
    </row>
    <row r="335" spans="1:10" x14ac:dyDescent="0.35">
      <c r="A335">
        <v>334</v>
      </c>
      <c r="B335" t="s">
        <v>20</v>
      </c>
      <c r="C335">
        <v>18</v>
      </c>
      <c r="D335" t="s">
        <v>21</v>
      </c>
      <c r="E335" t="s">
        <v>25</v>
      </c>
      <c r="F335" t="s">
        <v>24</v>
      </c>
      <c r="G335" t="s">
        <v>27</v>
      </c>
      <c r="H335">
        <v>1</v>
      </c>
      <c r="I335" t="str">
        <f>_xlfn.XLOOKUP(tbl_Students[[#This Row],[school_id]],tbl_Schools[school_id],tbl_Schools[school_name],"Unknown")</f>
        <v>Gabriel Pereira</v>
      </c>
      <c r="J335" t="str">
        <f t="shared" si="5"/>
        <v>17-18</v>
      </c>
    </row>
    <row r="336" spans="1:10" x14ac:dyDescent="0.35">
      <c r="A336">
        <v>335</v>
      </c>
      <c r="B336" t="s">
        <v>20</v>
      </c>
      <c r="C336">
        <v>18</v>
      </c>
      <c r="D336" t="s">
        <v>28</v>
      </c>
      <c r="E336" t="s">
        <v>22</v>
      </c>
      <c r="F336" t="s">
        <v>24</v>
      </c>
      <c r="G336" t="s">
        <v>112</v>
      </c>
      <c r="H336">
        <v>1</v>
      </c>
      <c r="I336" t="str">
        <f>_xlfn.XLOOKUP(tbl_Students[[#This Row],[school_id]],tbl_Schools[school_id],tbl_Schools[school_name],"Unknown")</f>
        <v>Gabriel Pereira</v>
      </c>
      <c r="J336" t="str">
        <f t="shared" si="5"/>
        <v>17-18</v>
      </c>
    </row>
    <row r="337" spans="1:10" x14ac:dyDescent="0.35">
      <c r="A337">
        <v>336</v>
      </c>
      <c r="B337" t="s">
        <v>20</v>
      </c>
      <c r="C337">
        <v>17</v>
      </c>
      <c r="D337" t="s">
        <v>21</v>
      </c>
      <c r="E337" t="s">
        <v>22</v>
      </c>
      <c r="F337" t="s">
        <v>24</v>
      </c>
      <c r="G337" t="s">
        <v>112</v>
      </c>
      <c r="H337">
        <v>1</v>
      </c>
      <c r="I337" t="str">
        <f>_xlfn.XLOOKUP(tbl_Students[[#This Row],[school_id]],tbl_Schools[school_id],tbl_Schools[school_name],"Unknown")</f>
        <v>Gabriel Pereira</v>
      </c>
      <c r="J337" t="str">
        <f t="shared" si="5"/>
        <v>17-18</v>
      </c>
    </row>
    <row r="338" spans="1:10" x14ac:dyDescent="0.35">
      <c r="A338">
        <v>337</v>
      </c>
      <c r="B338" t="s">
        <v>20</v>
      </c>
      <c r="C338">
        <v>19</v>
      </c>
      <c r="D338" t="s">
        <v>28</v>
      </c>
      <c r="E338" t="s">
        <v>22</v>
      </c>
      <c r="F338" t="s">
        <v>23</v>
      </c>
      <c r="G338" t="s">
        <v>27</v>
      </c>
      <c r="H338">
        <v>1</v>
      </c>
      <c r="I338" t="str">
        <f>_xlfn.XLOOKUP(tbl_Students[[#This Row],[school_id]],tbl_Schools[school_id],tbl_Schools[school_name],"Unknown")</f>
        <v>Gabriel Pereira</v>
      </c>
      <c r="J338" t="str">
        <f t="shared" si="5"/>
        <v>19-20</v>
      </c>
    </row>
    <row r="339" spans="1:10" x14ac:dyDescent="0.35">
      <c r="A339">
        <v>338</v>
      </c>
      <c r="B339" t="s">
        <v>20</v>
      </c>
      <c r="C339">
        <v>17</v>
      </c>
      <c r="D339" t="s">
        <v>21</v>
      </c>
      <c r="E339" t="s">
        <v>22</v>
      </c>
      <c r="F339" t="s">
        <v>24</v>
      </c>
      <c r="G339" t="s">
        <v>112</v>
      </c>
      <c r="H339">
        <v>1</v>
      </c>
      <c r="I339" t="str">
        <f>_xlfn.XLOOKUP(tbl_Students[[#This Row],[school_id]],tbl_Schools[school_id],tbl_Schools[school_name],"Unknown")</f>
        <v>Gabriel Pereira</v>
      </c>
      <c r="J339" t="str">
        <f t="shared" si="5"/>
        <v>17-18</v>
      </c>
    </row>
    <row r="340" spans="1:10" x14ac:dyDescent="0.35">
      <c r="A340">
        <v>339</v>
      </c>
      <c r="B340" t="s">
        <v>20</v>
      </c>
      <c r="C340">
        <v>18</v>
      </c>
      <c r="D340" t="s">
        <v>21</v>
      </c>
      <c r="E340" t="s">
        <v>25</v>
      </c>
      <c r="F340" t="s">
        <v>24</v>
      </c>
      <c r="G340" t="s">
        <v>112</v>
      </c>
      <c r="H340">
        <v>1</v>
      </c>
      <c r="I340" t="str">
        <f>_xlfn.XLOOKUP(tbl_Students[[#This Row],[school_id]],tbl_Schools[school_id],tbl_Schools[school_name],"Unknown")</f>
        <v>Gabriel Pereira</v>
      </c>
      <c r="J340" t="str">
        <f t="shared" si="5"/>
        <v>17-18</v>
      </c>
    </row>
    <row r="341" spans="1:10" x14ac:dyDescent="0.35">
      <c r="A341">
        <v>340</v>
      </c>
      <c r="B341" t="s">
        <v>20</v>
      </c>
      <c r="C341">
        <v>17</v>
      </c>
      <c r="D341" t="s">
        <v>28</v>
      </c>
      <c r="E341" t="s">
        <v>22</v>
      </c>
      <c r="F341" t="s">
        <v>23</v>
      </c>
      <c r="G341" t="s">
        <v>112</v>
      </c>
      <c r="H341">
        <v>1</v>
      </c>
      <c r="I341" t="str">
        <f>_xlfn.XLOOKUP(tbl_Students[[#This Row],[school_id]],tbl_Schools[school_id],tbl_Schools[school_name],"Unknown")</f>
        <v>Gabriel Pereira</v>
      </c>
      <c r="J341" t="str">
        <f t="shared" si="5"/>
        <v>17-18</v>
      </c>
    </row>
    <row r="342" spans="1:10" x14ac:dyDescent="0.35">
      <c r="A342">
        <v>341</v>
      </c>
      <c r="B342" t="s">
        <v>20</v>
      </c>
      <c r="C342">
        <v>19</v>
      </c>
      <c r="D342" t="s">
        <v>21</v>
      </c>
      <c r="E342" t="s">
        <v>22</v>
      </c>
      <c r="F342" t="s">
        <v>24</v>
      </c>
      <c r="G342" t="s">
        <v>27</v>
      </c>
      <c r="H342">
        <v>1</v>
      </c>
      <c r="I342" t="str">
        <f>_xlfn.XLOOKUP(tbl_Students[[#This Row],[school_id]],tbl_Schools[school_id],tbl_Schools[school_name],"Unknown")</f>
        <v>Gabriel Pereira</v>
      </c>
      <c r="J342" t="str">
        <f t="shared" si="5"/>
        <v>19-20</v>
      </c>
    </row>
    <row r="343" spans="1:10" x14ac:dyDescent="0.35">
      <c r="A343">
        <v>342</v>
      </c>
      <c r="B343" t="s">
        <v>26</v>
      </c>
      <c r="C343">
        <v>18</v>
      </c>
      <c r="D343" t="s">
        <v>21</v>
      </c>
      <c r="E343" t="s">
        <v>22</v>
      </c>
      <c r="F343" t="s">
        <v>24</v>
      </c>
      <c r="G343" t="s">
        <v>113</v>
      </c>
      <c r="H343">
        <v>1</v>
      </c>
      <c r="I343" t="str">
        <f>_xlfn.XLOOKUP(tbl_Students[[#This Row],[school_id]],tbl_Schools[school_id],tbl_Schools[school_name],"Unknown")</f>
        <v>Gabriel Pereira</v>
      </c>
      <c r="J343" t="str">
        <f t="shared" si="5"/>
        <v>17-18</v>
      </c>
    </row>
    <row r="344" spans="1:10" x14ac:dyDescent="0.35">
      <c r="A344">
        <v>343</v>
      </c>
      <c r="B344" t="s">
        <v>26</v>
      </c>
      <c r="C344">
        <v>18</v>
      </c>
      <c r="D344" t="s">
        <v>21</v>
      </c>
      <c r="E344" t="s">
        <v>25</v>
      </c>
      <c r="F344" t="s">
        <v>24</v>
      </c>
      <c r="G344" t="s">
        <v>112</v>
      </c>
      <c r="H344">
        <v>1</v>
      </c>
      <c r="I344" t="str">
        <f>_xlfn.XLOOKUP(tbl_Students[[#This Row],[school_id]],tbl_Schools[school_id],tbl_Schools[school_name],"Unknown")</f>
        <v>Gabriel Pereira</v>
      </c>
      <c r="J344" t="str">
        <f t="shared" si="5"/>
        <v>17-18</v>
      </c>
    </row>
    <row r="345" spans="1:10" x14ac:dyDescent="0.35">
      <c r="A345">
        <v>344</v>
      </c>
      <c r="B345" t="s">
        <v>20</v>
      </c>
      <c r="C345">
        <v>17</v>
      </c>
      <c r="D345" t="s">
        <v>21</v>
      </c>
      <c r="E345" t="s">
        <v>22</v>
      </c>
      <c r="F345" t="s">
        <v>23</v>
      </c>
      <c r="G345" t="s">
        <v>113</v>
      </c>
      <c r="H345">
        <v>1</v>
      </c>
      <c r="I345" t="str">
        <f>_xlfn.XLOOKUP(tbl_Students[[#This Row],[school_id]],tbl_Schools[school_id],tbl_Schools[school_name],"Unknown")</f>
        <v>Gabriel Pereira</v>
      </c>
      <c r="J345" t="str">
        <f t="shared" si="5"/>
        <v>17-18</v>
      </c>
    </row>
    <row r="346" spans="1:10" x14ac:dyDescent="0.35">
      <c r="A346">
        <v>345</v>
      </c>
      <c r="B346" t="s">
        <v>20</v>
      </c>
      <c r="C346">
        <v>18</v>
      </c>
      <c r="D346" t="s">
        <v>21</v>
      </c>
      <c r="E346" t="s">
        <v>22</v>
      </c>
      <c r="F346" t="s">
        <v>24</v>
      </c>
      <c r="G346" t="s">
        <v>112</v>
      </c>
      <c r="H346">
        <v>1</v>
      </c>
      <c r="I346" t="str">
        <f>_xlfn.XLOOKUP(tbl_Students[[#This Row],[school_id]],tbl_Schools[school_id],tbl_Schools[school_name],"Unknown")</f>
        <v>Gabriel Pereira</v>
      </c>
      <c r="J346" t="str">
        <f t="shared" si="5"/>
        <v>17-18</v>
      </c>
    </row>
    <row r="347" spans="1:10" x14ac:dyDescent="0.35">
      <c r="A347">
        <v>346</v>
      </c>
      <c r="B347" t="s">
        <v>20</v>
      </c>
      <c r="C347">
        <v>18</v>
      </c>
      <c r="D347" t="s">
        <v>21</v>
      </c>
      <c r="E347" t="s">
        <v>22</v>
      </c>
      <c r="F347" t="s">
        <v>24</v>
      </c>
      <c r="G347" t="s">
        <v>112</v>
      </c>
      <c r="H347">
        <v>1</v>
      </c>
      <c r="I347" t="str">
        <f>_xlfn.XLOOKUP(tbl_Students[[#This Row],[school_id]],tbl_Schools[school_id],tbl_Schools[school_name],"Unknown")</f>
        <v>Gabriel Pereira</v>
      </c>
      <c r="J347" t="str">
        <f t="shared" si="5"/>
        <v>17-18</v>
      </c>
    </row>
    <row r="348" spans="1:10" x14ac:dyDescent="0.35">
      <c r="A348">
        <v>347</v>
      </c>
      <c r="B348" t="s">
        <v>26</v>
      </c>
      <c r="C348">
        <v>18</v>
      </c>
      <c r="D348" t="s">
        <v>28</v>
      </c>
      <c r="E348" t="s">
        <v>22</v>
      </c>
      <c r="F348" t="s">
        <v>24</v>
      </c>
      <c r="G348" t="s">
        <v>112</v>
      </c>
      <c r="H348">
        <v>1</v>
      </c>
      <c r="I348" t="str">
        <f>_xlfn.XLOOKUP(tbl_Students[[#This Row],[school_id]],tbl_Schools[school_id],tbl_Schools[school_name],"Unknown")</f>
        <v>Gabriel Pereira</v>
      </c>
      <c r="J348" t="str">
        <f t="shared" si="5"/>
        <v>17-18</v>
      </c>
    </row>
    <row r="349" spans="1:10" x14ac:dyDescent="0.35">
      <c r="A349">
        <v>348</v>
      </c>
      <c r="B349" t="s">
        <v>26</v>
      </c>
      <c r="C349">
        <v>18</v>
      </c>
      <c r="D349" t="s">
        <v>21</v>
      </c>
      <c r="E349" t="s">
        <v>22</v>
      </c>
      <c r="F349" t="s">
        <v>24</v>
      </c>
      <c r="G349" t="s">
        <v>112</v>
      </c>
      <c r="H349">
        <v>1</v>
      </c>
      <c r="I349" t="str">
        <f>_xlfn.XLOOKUP(tbl_Students[[#This Row],[school_id]],tbl_Schools[school_id],tbl_Schools[school_name],"Unknown")</f>
        <v>Gabriel Pereira</v>
      </c>
      <c r="J349" t="str">
        <f t="shared" si="5"/>
        <v>17-18</v>
      </c>
    </row>
    <row r="350" spans="1:10" x14ac:dyDescent="0.35">
      <c r="A350">
        <v>349</v>
      </c>
      <c r="B350" t="s">
        <v>20</v>
      </c>
      <c r="C350">
        <v>17</v>
      </c>
      <c r="D350" t="s">
        <v>21</v>
      </c>
      <c r="E350" t="s">
        <v>22</v>
      </c>
      <c r="F350" t="s">
        <v>24</v>
      </c>
      <c r="G350" t="s">
        <v>112</v>
      </c>
      <c r="H350">
        <v>1</v>
      </c>
      <c r="I350" t="str">
        <f>_xlfn.XLOOKUP(tbl_Students[[#This Row],[school_id]],tbl_Schools[school_id],tbl_Schools[school_name],"Unknown")</f>
        <v>Gabriel Pereira</v>
      </c>
      <c r="J350" t="str">
        <f t="shared" si="5"/>
        <v>17-18</v>
      </c>
    </row>
    <row r="351" spans="1:10" x14ac:dyDescent="0.35">
      <c r="A351">
        <v>350</v>
      </c>
      <c r="B351" t="s">
        <v>26</v>
      </c>
      <c r="C351">
        <v>18</v>
      </c>
      <c r="D351" t="s">
        <v>28</v>
      </c>
      <c r="E351" t="s">
        <v>22</v>
      </c>
      <c r="F351" t="s">
        <v>24</v>
      </c>
      <c r="G351" t="s">
        <v>112</v>
      </c>
      <c r="H351">
        <v>2</v>
      </c>
      <c r="I351" t="str">
        <f>_xlfn.XLOOKUP(tbl_Students[[#This Row],[school_id]],tbl_Schools[school_id],tbl_Schools[school_name],"Unknown")</f>
        <v>Mousinho da Silveira</v>
      </c>
      <c r="J351" t="str">
        <f t="shared" si="5"/>
        <v>17-18</v>
      </c>
    </row>
    <row r="352" spans="1:10" x14ac:dyDescent="0.35">
      <c r="A352">
        <v>351</v>
      </c>
      <c r="B352" t="s">
        <v>26</v>
      </c>
      <c r="C352">
        <v>19</v>
      </c>
      <c r="D352" t="s">
        <v>28</v>
      </c>
      <c r="E352" t="s">
        <v>22</v>
      </c>
      <c r="F352" t="s">
        <v>24</v>
      </c>
      <c r="G352" t="s">
        <v>27</v>
      </c>
      <c r="H352">
        <v>2</v>
      </c>
      <c r="I352" t="str">
        <f>_xlfn.XLOOKUP(tbl_Students[[#This Row],[school_id]],tbl_Schools[school_id],tbl_Schools[school_name],"Unknown")</f>
        <v>Mousinho da Silveira</v>
      </c>
      <c r="J352" t="str">
        <f t="shared" si="5"/>
        <v>19-20</v>
      </c>
    </row>
    <row r="353" spans="1:10" x14ac:dyDescent="0.35">
      <c r="A353">
        <v>352</v>
      </c>
      <c r="B353" t="s">
        <v>26</v>
      </c>
      <c r="C353">
        <v>17</v>
      </c>
      <c r="D353" t="s">
        <v>21</v>
      </c>
      <c r="E353" t="s">
        <v>22</v>
      </c>
      <c r="F353" t="s">
        <v>24</v>
      </c>
      <c r="G353" t="s">
        <v>112</v>
      </c>
      <c r="H353">
        <v>2</v>
      </c>
      <c r="I353" t="str">
        <f>_xlfn.XLOOKUP(tbl_Students[[#This Row],[school_id]],tbl_Schools[school_id],tbl_Schools[school_name],"Unknown")</f>
        <v>Mousinho da Silveira</v>
      </c>
      <c r="J353" t="str">
        <f t="shared" si="5"/>
        <v>17-18</v>
      </c>
    </row>
    <row r="354" spans="1:10" x14ac:dyDescent="0.35">
      <c r="A354">
        <v>353</v>
      </c>
      <c r="B354" t="s">
        <v>26</v>
      </c>
      <c r="C354">
        <v>18</v>
      </c>
      <c r="D354" t="s">
        <v>21</v>
      </c>
      <c r="E354" t="s">
        <v>25</v>
      </c>
      <c r="F354" t="s">
        <v>24</v>
      </c>
      <c r="G354" t="s">
        <v>112</v>
      </c>
      <c r="H354">
        <v>2</v>
      </c>
      <c r="I354" t="str">
        <f>_xlfn.XLOOKUP(tbl_Students[[#This Row],[school_id]],tbl_Schools[school_id],tbl_Schools[school_name],"Unknown")</f>
        <v>Mousinho da Silveira</v>
      </c>
      <c r="J354" t="str">
        <f t="shared" si="5"/>
        <v>17-18</v>
      </c>
    </row>
    <row r="355" spans="1:10" x14ac:dyDescent="0.35">
      <c r="A355">
        <v>354</v>
      </c>
      <c r="B355" t="s">
        <v>26</v>
      </c>
      <c r="C355">
        <v>19</v>
      </c>
      <c r="D355" t="s">
        <v>28</v>
      </c>
      <c r="E355" t="s">
        <v>22</v>
      </c>
      <c r="F355" t="s">
        <v>24</v>
      </c>
      <c r="G355" t="s">
        <v>27</v>
      </c>
      <c r="H355">
        <v>2</v>
      </c>
      <c r="I355" t="str">
        <f>_xlfn.XLOOKUP(tbl_Students[[#This Row],[school_id]],tbl_Schools[school_id],tbl_Schools[school_name],"Unknown")</f>
        <v>Mousinho da Silveira</v>
      </c>
      <c r="J355" t="str">
        <f t="shared" si="5"/>
        <v>19-20</v>
      </c>
    </row>
    <row r="356" spans="1:10" x14ac:dyDescent="0.35">
      <c r="A356">
        <v>355</v>
      </c>
      <c r="B356" t="s">
        <v>26</v>
      </c>
      <c r="C356">
        <v>17</v>
      </c>
      <c r="D356" t="s">
        <v>28</v>
      </c>
      <c r="E356" t="s">
        <v>22</v>
      </c>
      <c r="F356" t="s">
        <v>24</v>
      </c>
      <c r="G356" t="s">
        <v>112</v>
      </c>
      <c r="H356">
        <v>2</v>
      </c>
      <c r="I356" t="str">
        <f>_xlfn.XLOOKUP(tbl_Students[[#This Row],[school_id]],tbl_Schools[school_id],tbl_Schools[school_name],"Unknown")</f>
        <v>Mousinho da Silveira</v>
      </c>
      <c r="J356" t="str">
        <f t="shared" si="5"/>
        <v>17-18</v>
      </c>
    </row>
    <row r="357" spans="1:10" x14ac:dyDescent="0.35">
      <c r="A357">
        <v>356</v>
      </c>
      <c r="B357" t="s">
        <v>20</v>
      </c>
      <c r="C357">
        <v>18</v>
      </c>
      <c r="D357" t="s">
        <v>21</v>
      </c>
      <c r="E357" t="s">
        <v>22</v>
      </c>
      <c r="F357" t="s">
        <v>24</v>
      </c>
      <c r="G357" t="s">
        <v>113</v>
      </c>
      <c r="H357">
        <v>2</v>
      </c>
      <c r="I357" t="str">
        <f>_xlfn.XLOOKUP(tbl_Students[[#This Row],[school_id]],tbl_Schools[school_id],tbl_Schools[school_name],"Unknown")</f>
        <v>Mousinho da Silveira</v>
      </c>
      <c r="J357" t="str">
        <f t="shared" si="5"/>
        <v>17-18</v>
      </c>
    </row>
    <row r="358" spans="1:10" x14ac:dyDescent="0.35">
      <c r="A358">
        <v>357</v>
      </c>
      <c r="B358" t="s">
        <v>20</v>
      </c>
      <c r="C358">
        <v>17</v>
      </c>
      <c r="D358" t="s">
        <v>28</v>
      </c>
      <c r="E358" t="s">
        <v>22</v>
      </c>
      <c r="F358" t="s">
        <v>24</v>
      </c>
      <c r="G358" t="s">
        <v>113</v>
      </c>
      <c r="H358">
        <v>2</v>
      </c>
      <c r="I358" t="str">
        <f>_xlfn.XLOOKUP(tbl_Students[[#This Row],[school_id]],tbl_Schools[school_id],tbl_Schools[school_name],"Unknown")</f>
        <v>Mousinho da Silveira</v>
      </c>
      <c r="J358" t="str">
        <f t="shared" si="5"/>
        <v>17-18</v>
      </c>
    </row>
    <row r="359" spans="1:10" x14ac:dyDescent="0.35">
      <c r="A359">
        <v>358</v>
      </c>
      <c r="B359" t="s">
        <v>20</v>
      </c>
      <c r="C359">
        <v>17</v>
      </c>
      <c r="D359" t="s">
        <v>21</v>
      </c>
      <c r="E359" t="s">
        <v>25</v>
      </c>
      <c r="F359" t="s">
        <v>23</v>
      </c>
      <c r="G359" t="s">
        <v>112</v>
      </c>
      <c r="H359">
        <v>2</v>
      </c>
      <c r="I359" t="str">
        <f>_xlfn.XLOOKUP(tbl_Students[[#This Row],[school_id]],tbl_Schools[school_id],tbl_Schools[school_name],"Unknown")</f>
        <v>Mousinho da Silveira</v>
      </c>
      <c r="J359" t="str">
        <f t="shared" si="5"/>
        <v>17-18</v>
      </c>
    </row>
    <row r="360" spans="1:10" x14ac:dyDescent="0.35">
      <c r="A360">
        <v>359</v>
      </c>
      <c r="B360" t="s">
        <v>26</v>
      </c>
      <c r="C360">
        <v>18</v>
      </c>
      <c r="D360" t="s">
        <v>21</v>
      </c>
      <c r="E360" t="s">
        <v>25</v>
      </c>
      <c r="F360" t="s">
        <v>24</v>
      </c>
      <c r="G360" t="s">
        <v>113</v>
      </c>
      <c r="H360">
        <v>2</v>
      </c>
      <c r="I360" t="str">
        <f>_xlfn.XLOOKUP(tbl_Students[[#This Row],[school_id]],tbl_Schools[school_id],tbl_Schools[school_name],"Unknown")</f>
        <v>Mousinho da Silveira</v>
      </c>
      <c r="J360" t="str">
        <f t="shared" si="5"/>
        <v>17-18</v>
      </c>
    </row>
    <row r="361" spans="1:10" x14ac:dyDescent="0.35">
      <c r="A361">
        <v>360</v>
      </c>
      <c r="B361" t="s">
        <v>20</v>
      </c>
      <c r="C361">
        <v>18</v>
      </c>
      <c r="D361" t="s">
        <v>21</v>
      </c>
      <c r="E361" t="s">
        <v>25</v>
      </c>
      <c r="F361" t="s">
        <v>24</v>
      </c>
      <c r="G361" t="s">
        <v>113</v>
      </c>
      <c r="H361">
        <v>2</v>
      </c>
      <c r="I361" t="str">
        <f>_xlfn.XLOOKUP(tbl_Students[[#This Row],[school_id]],tbl_Schools[school_id],tbl_Schools[school_name],"Unknown")</f>
        <v>Mousinho da Silveira</v>
      </c>
      <c r="J361" t="str">
        <f t="shared" si="5"/>
        <v>17-18</v>
      </c>
    </row>
    <row r="362" spans="1:10" x14ac:dyDescent="0.35">
      <c r="A362">
        <v>361</v>
      </c>
      <c r="B362" t="s">
        <v>20</v>
      </c>
      <c r="C362">
        <v>18</v>
      </c>
      <c r="D362" t="s">
        <v>28</v>
      </c>
      <c r="E362" t="s">
        <v>25</v>
      </c>
      <c r="F362" t="s">
        <v>23</v>
      </c>
      <c r="G362" t="s">
        <v>112</v>
      </c>
      <c r="H362">
        <v>2</v>
      </c>
      <c r="I362" t="str">
        <f>_xlfn.XLOOKUP(tbl_Students[[#This Row],[school_id]],tbl_Schools[school_id],tbl_Schools[school_name],"Unknown")</f>
        <v>Mousinho da Silveira</v>
      </c>
      <c r="J362" t="str">
        <f t="shared" si="5"/>
        <v>17-18</v>
      </c>
    </row>
    <row r="363" spans="1:10" x14ac:dyDescent="0.35">
      <c r="A363">
        <v>362</v>
      </c>
      <c r="B363" t="s">
        <v>26</v>
      </c>
      <c r="C363">
        <v>18</v>
      </c>
      <c r="D363" t="s">
        <v>28</v>
      </c>
      <c r="E363" t="s">
        <v>25</v>
      </c>
      <c r="F363" t="s">
        <v>24</v>
      </c>
      <c r="G363" t="s">
        <v>112</v>
      </c>
      <c r="H363">
        <v>2</v>
      </c>
      <c r="I363" t="str">
        <f>_xlfn.XLOOKUP(tbl_Students[[#This Row],[school_id]],tbl_Schools[school_id],tbl_Schools[school_name],"Unknown")</f>
        <v>Mousinho da Silveira</v>
      </c>
      <c r="J363" t="str">
        <f t="shared" si="5"/>
        <v>17-18</v>
      </c>
    </row>
    <row r="364" spans="1:10" x14ac:dyDescent="0.35">
      <c r="A364">
        <v>363</v>
      </c>
      <c r="B364" t="s">
        <v>20</v>
      </c>
      <c r="C364">
        <v>18</v>
      </c>
      <c r="D364" t="s">
        <v>21</v>
      </c>
      <c r="E364" t="s">
        <v>22</v>
      </c>
      <c r="F364" t="s">
        <v>24</v>
      </c>
      <c r="G364" t="s">
        <v>112</v>
      </c>
      <c r="H364">
        <v>2</v>
      </c>
      <c r="I364" t="str">
        <f>_xlfn.XLOOKUP(tbl_Students[[#This Row],[school_id]],tbl_Schools[school_id],tbl_Schools[school_name],"Unknown")</f>
        <v>Mousinho da Silveira</v>
      </c>
      <c r="J364" t="str">
        <f t="shared" si="5"/>
        <v>17-18</v>
      </c>
    </row>
    <row r="365" spans="1:10" x14ac:dyDescent="0.35">
      <c r="A365">
        <v>364</v>
      </c>
      <c r="B365" t="s">
        <v>20</v>
      </c>
      <c r="C365">
        <v>17</v>
      </c>
      <c r="D365" t="s">
        <v>21</v>
      </c>
      <c r="E365" t="s">
        <v>25</v>
      </c>
      <c r="F365" t="s">
        <v>24</v>
      </c>
      <c r="G365" t="s">
        <v>112</v>
      </c>
      <c r="H365">
        <v>2</v>
      </c>
      <c r="I365" t="str">
        <f>_xlfn.XLOOKUP(tbl_Students[[#This Row],[school_id]],tbl_Schools[school_id],tbl_Schools[school_name],"Unknown")</f>
        <v>Mousinho da Silveira</v>
      </c>
      <c r="J365" t="str">
        <f t="shared" si="5"/>
        <v>17-18</v>
      </c>
    </row>
    <row r="366" spans="1:10" x14ac:dyDescent="0.35">
      <c r="A366">
        <v>365</v>
      </c>
      <c r="B366" t="s">
        <v>20</v>
      </c>
      <c r="C366">
        <v>17</v>
      </c>
      <c r="D366" t="s">
        <v>28</v>
      </c>
      <c r="E366" t="s">
        <v>22</v>
      </c>
      <c r="F366" t="s">
        <v>24</v>
      </c>
      <c r="G366" t="s">
        <v>113</v>
      </c>
      <c r="H366">
        <v>2</v>
      </c>
      <c r="I366" t="str">
        <f>_xlfn.XLOOKUP(tbl_Students[[#This Row],[school_id]],tbl_Schools[school_id],tbl_Schools[school_name],"Unknown")</f>
        <v>Mousinho da Silveira</v>
      </c>
      <c r="J366" t="str">
        <f t="shared" si="5"/>
        <v>17-18</v>
      </c>
    </row>
    <row r="367" spans="1:10" x14ac:dyDescent="0.35">
      <c r="A367">
        <v>366</v>
      </c>
      <c r="B367" t="s">
        <v>26</v>
      </c>
      <c r="C367">
        <v>18</v>
      </c>
      <c r="D367" t="s">
        <v>28</v>
      </c>
      <c r="E367" t="s">
        <v>22</v>
      </c>
      <c r="F367" t="s">
        <v>24</v>
      </c>
      <c r="G367" t="s">
        <v>112</v>
      </c>
      <c r="H367">
        <v>2</v>
      </c>
      <c r="I367" t="str">
        <f>_xlfn.XLOOKUP(tbl_Students[[#This Row],[school_id]],tbl_Schools[school_id],tbl_Schools[school_name],"Unknown")</f>
        <v>Mousinho da Silveira</v>
      </c>
      <c r="J367" t="str">
        <f t="shared" si="5"/>
        <v>17-18</v>
      </c>
    </row>
    <row r="368" spans="1:10" x14ac:dyDescent="0.35">
      <c r="A368">
        <v>367</v>
      </c>
      <c r="B368" t="s">
        <v>26</v>
      </c>
      <c r="C368">
        <v>18</v>
      </c>
      <c r="D368" t="s">
        <v>21</v>
      </c>
      <c r="E368" t="s">
        <v>25</v>
      </c>
      <c r="F368" t="s">
        <v>24</v>
      </c>
      <c r="G368" t="s">
        <v>112</v>
      </c>
      <c r="H368">
        <v>2</v>
      </c>
      <c r="I368" t="str">
        <f>_xlfn.XLOOKUP(tbl_Students[[#This Row],[school_id]],tbl_Schools[school_id],tbl_Schools[school_name],"Unknown")</f>
        <v>Mousinho da Silveira</v>
      </c>
      <c r="J368" t="str">
        <f t="shared" si="5"/>
        <v>17-18</v>
      </c>
    </row>
    <row r="369" spans="1:10" x14ac:dyDescent="0.35">
      <c r="A369">
        <v>368</v>
      </c>
      <c r="B369" t="s">
        <v>20</v>
      </c>
      <c r="C369">
        <v>17</v>
      </c>
      <c r="D369" t="s">
        <v>28</v>
      </c>
      <c r="E369" t="s">
        <v>22</v>
      </c>
      <c r="F369" t="s">
        <v>24</v>
      </c>
      <c r="G369" t="s">
        <v>112</v>
      </c>
      <c r="H369">
        <v>2</v>
      </c>
      <c r="I369" t="str">
        <f>_xlfn.XLOOKUP(tbl_Students[[#This Row],[school_id]],tbl_Schools[school_id],tbl_Schools[school_name],"Unknown")</f>
        <v>Mousinho da Silveira</v>
      </c>
      <c r="J369" t="str">
        <f t="shared" si="5"/>
        <v>17-18</v>
      </c>
    </row>
    <row r="370" spans="1:10" x14ac:dyDescent="0.35">
      <c r="A370">
        <v>369</v>
      </c>
      <c r="B370" t="s">
        <v>20</v>
      </c>
      <c r="C370">
        <v>18</v>
      </c>
      <c r="D370" t="s">
        <v>21</v>
      </c>
      <c r="E370" t="s">
        <v>22</v>
      </c>
      <c r="F370" t="s">
        <v>24</v>
      </c>
      <c r="G370" t="s">
        <v>113</v>
      </c>
      <c r="H370">
        <v>2</v>
      </c>
      <c r="I370" t="str">
        <f>_xlfn.XLOOKUP(tbl_Students[[#This Row],[school_id]],tbl_Schools[school_id],tbl_Schools[school_name],"Unknown")</f>
        <v>Mousinho da Silveira</v>
      </c>
      <c r="J370" t="str">
        <f t="shared" si="5"/>
        <v>17-18</v>
      </c>
    </row>
    <row r="371" spans="1:10" x14ac:dyDescent="0.35">
      <c r="A371">
        <v>370</v>
      </c>
      <c r="B371" t="s">
        <v>20</v>
      </c>
      <c r="C371">
        <v>18</v>
      </c>
      <c r="D371" t="s">
        <v>28</v>
      </c>
      <c r="E371" t="s">
        <v>22</v>
      </c>
      <c r="F371" t="s">
        <v>24</v>
      </c>
      <c r="G371" t="s">
        <v>113</v>
      </c>
      <c r="H371">
        <v>2</v>
      </c>
      <c r="I371" t="str">
        <f>_xlfn.XLOOKUP(tbl_Students[[#This Row],[school_id]],tbl_Schools[school_id],tbl_Schools[school_name],"Unknown")</f>
        <v>Mousinho da Silveira</v>
      </c>
      <c r="J371" t="str">
        <f t="shared" si="5"/>
        <v>17-18</v>
      </c>
    </row>
    <row r="372" spans="1:10" x14ac:dyDescent="0.35">
      <c r="A372">
        <v>371</v>
      </c>
      <c r="B372" t="s">
        <v>20</v>
      </c>
      <c r="C372">
        <v>19</v>
      </c>
      <c r="D372" t="s">
        <v>21</v>
      </c>
      <c r="E372" t="s">
        <v>25</v>
      </c>
      <c r="F372" t="s">
        <v>24</v>
      </c>
      <c r="G372" t="s">
        <v>27</v>
      </c>
      <c r="H372">
        <v>2</v>
      </c>
      <c r="I372" t="str">
        <f>_xlfn.XLOOKUP(tbl_Students[[#This Row],[school_id]],tbl_Schools[school_id],tbl_Schools[school_name],"Unknown")</f>
        <v>Mousinho da Silveira</v>
      </c>
      <c r="J372" t="str">
        <f t="shared" si="5"/>
        <v>19-20</v>
      </c>
    </row>
    <row r="373" spans="1:10" x14ac:dyDescent="0.35">
      <c r="A373">
        <v>372</v>
      </c>
      <c r="B373" t="s">
        <v>26</v>
      </c>
      <c r="C373">
        <v>18</v>
      </c>
      <c r="D373" t="s">
        <v>28</v>
      </c>
      <c r="E373" t="s">
        <v>25</v>
      </c>
      <c r="F373" t="s">
        <v>24</v>
      </c>
      <c r="G373" t="s">
        <v>113</v>
      </c>
      <c r="H373">
        <v>2</v>
      </c>
      <c r="I373" t="str">
        <f>_xlfn.XLOOKUP(tbl_Students[[#This Row],[school_id]],tbl_Schools[school_id],tbl_Schools[school_name],"Unknown")</f>
        <v>Mousinho da Silveira</v>
      </c>
      <c r="J373" t="str">
        <f t="shared" si="5"/>
        <v>17-18</v>
      </c>
    </row>
    <row r="374" spans="1:10" x14ac:dyDescent="0.35">
      <c r="A374">
        <v>373</v>
      </c>
      <c r="B374" t="s">
        <v>20</v>
      </c>
      <c r="C374">
        <v>17</v>
      </c>
      <c r="D374" t="s">
        <v>21</v>
      </c>
      <c r="E374" t="s">
        <v>22</v>
      </c>
      <c r="F374" t="s">
        <v>24</v>
      </c>
      <c r="G374" t="s">
        <v>112</v>
      </c>
      <c r="H374">
        <v>2</v>
      </c>
      <c r="I374" t="str">
        <f>_xlfn.XLOOKUP(tbl_Students[[#This Row],[school_id]],tbl_Schools[school_id],tbl_Schools[school_name],"Unknown")</f>
        <v>Mousinho da Silveira</v>
      </c>
      <c r="J374" t="str">
        <f t="shared" si="5"/>
        <v>17-18</v>
      </c>
    </row>
    <row r="375" spans="1:10" x14ac:dyDescent="0.35">
      <c r="A375">
        <v>374</v>
      </c>
      <c r="B375" t="s">
        <v>20</v>
      </c>
      <c r="C375">
        <v>17</v>
      </c>
      <c r="D375" t="s">
        <v>28</v>
      </c>
      <c r="E375" t="s">
        <v>22</v>
      </c>
      <c r="F375" t="s">
        <v>24</v>
      </c>
      <c r="G375" t="s">
        <v>112</v>
      </c>
      <c r="H375">
        <v>2</v>
      </c>
      <c r="I375" t="str">
        <f>_xlfn.XLOOKUP(tbl_Students[[#This Row],[school_id]],tbl_Schools[school_id],tbl_Schools[school_name],"Unknown")</f>
        <v>Mousinho da Silveira</v>
      </c>
      <c r="J375" t="str">
        <f t="shared" si="5"/>
        <v>17-18</v>
      </c>
    </row>
    <row r="376" spans="1:10" x14ac:dyDescent="0.35">
      <c r="A376">
        <v>375</v>
      </c>
      <c r="B376" t="s">
        <v>20</v>
      </c>
      <c r="C376">
        <v>17</v>
      </c>
      <c r="D376" t="s">
        <v>28</v>
      </c>
      <c r="E376" t="s">
        <v>25</v>
      </c>
      <c r="F376" t="s">
        <v>24</v>
      </c>
      <c r="G376" t="s">
        <v>112</v>
      </c>
      <c r="H376">
        <v>2</v>
      </c>
      <c r="I376" t="str">
        <f>_xlfn.XLOOKUP(tbl_Students[[#This Row],[school_id]],tbl_Schools[school_id],tbl_Schools[school_name],"Unknown")</f>
        <v>Mousinho da Silveira</v>
      </c>
      <c r="J376" t="str">
        <f t="shared" si="5"/>
        <v>17-18</v>
      </c>
    </row>
    <row r="377" spans="1:10" x14ac:dyDescent="0.35">
      <c r="A377">
        <v>376</v>
      </c>
      <c r="B377" t="s">
        <v>20</v>
      </c>
      <c r="C377">
        <v>18</v>
      </c>
      <c r="D377" t="s">
        <v>28</v>
      </c>
      <c r="E377" t="s">
        <v>22</v>
      </c>
      <c r="F377" t="s">
        <v>24</v>
      </c>
      <c r="G377" t="s">
        <v>112</v>
      </c>
      <c r="H377">
        <v>2</v>
      </c>
      <c r="I377" t="str">
        <f>_xlfn.XLOOKUP(tbl_Students[[#This Row],[school_id]],tbl_Schools[school_id],tbl_Schools[school_name],"Unknown")</f>
        <v>Mousinho da Silveira</v>
      </c>
      <c r="J377" t="str">
        <f t="shared" si="5"/>
        <v>17-18</v>
      </c>
    </row>
    <row r="378" spans="1:10" x14ac:dyDescent="0.35">
      <c r="A378">
        <v>377</v>
      </c>
      <c r="B378" t="s">
        <v>20</v>
      </c>
      <c r="C378">
        <v>20</v>
      </c>
      <c r="D378" t="s">
        <v>21</v>
      </c>
      <c r="E378" t="s">
        <v>22</v>
      </c>
      <c r="F378" t="s">
        <v>24</v>
      </c>
      <c r="G378" t="s">
        <v>27</v>
      </c>
      <c r="H378">
        <v>2</v>
      </c>
      <c r="I378" t="str">
        <f>_xlfn.XLOOKUP(tbl_Students[[#This Row],[school_id]],tbl_Schools[school_id],tbl_Schools[school_name],"Unknown")</f>
        <v>Mousinho da Silveira</v>
      </c>
      <c r="J378" t="str">
        <f t="shared" si="5"/>
        <v>19-20</v>
      </c>
    </row>
    <row r="379" spans="1:10" x14ac:dyDescent="0.35">
      <c r="A379">
        <v>378</v>
      </c>
      <c r="B379" t="s">
        <v>20</v>
      </c>
      <c r="C379">
        <v>18</v>
      </c>
      <c r="D379" t="s">
        <v>28</v>
      </c>
      <c r="E379" t="s">
        <v>25</v>
      </c>
      <c r="F379" t="s">
        <v>24</v>
      </c>
      <c r="G379" t="s">
        <v>112</v>
      </c>
      <c r="H379">
        <v>2</v>
      </c>
      <c r="I379" t="str">
        <f>_xlfn.XLOOKUP(tbl_Students[[#This Row],[school_id]],tbl_Schools[school_id],tbl_Schools[school_name],"Unknown")</f>
        <v>Mousinho da Silveira</v>
      </c>
      <c r="J379" t="str">
        <f t="shared" si="5"/>
        <v>17-18</v>
      </c>
    </row>
    <row r="380" spans="1:10" x14ac:dyDescent="0.35">
      <c r="A380">
        <v>379</v>
      </c>
      <c r="B380" t="s">
        <v>20</v>
      </c>
      <c r="C380">
        <v>18</v>
      </c>
      <c r="D380" t="s">
        <v>21</v>
      </c>
      <c r="E380" t="s">
        <v>22</v>
      </c>
      <c r="F380" t="s">
        <v>24</v>
      </c>
      <c r="G380" t="s">
        <v>112</v>
      </c>
      <c r="H380">
        <v>2</v>
      </c>
      <c r="I380" t="str">
        <f>_xlfn.XLOOKUP(tbl_Students[[#This Row],[school_id]],tbl_Schools[school_id],tbl_Schools[school_name],"Unknown")</f>
        <v>Mousinho da Silveira</v>
      </c>
      <c r="J380" t="str">
        <f t="shared" si="5"/>
        <v>17-18</v>
      </c>
    </row>
    <row r="381" spans="1:10" x14ac:dyDescent="0.35">
      <c r="A381">
        <v>380</v>
      </c>
      <c r="B381" t="s">
        <v>20</v>
      </c>
      <c r="C381">
        <v>17</v>
      </c>
      <c r="D381" t="s">
        <v>28</v>
      </c>
      <c r="E381" t="s">
        <v>22</v>
      </c>
      <c r="F381" t="s">
        <v>24</v>
      </c>
      <c r="G381" t="s">
        <v>112</v>
      </c>
      <c r="H381">
        <v>2</v>
      </c>
      <c r="I381" t="str">
        <f>_xlfn.XLOOKUP(tbl_Students[[#This Row],[school_id]],tbl_Schools[school_id],tbl_Schools[school_name],"Unknown")</f>
        <v>Mousinho da Silveira</v>
      </c>
      <c r="J381" t="str">
        <f t="shared" si="5"/>
        <v>17-18</v>
      </c>
    </row>
    <row r="382" spans="1:10" x14ac:dyDescent="0.35">
      <c r="A382">
        <v>381</v>
      </c>
      <c r="B382" t="s">
        <v>26</v>
      </c>
      <c r="C382">
        <v>18</v>
      </c>
      <c r="D382" t="s">
        <v>21</v>
      </c>
      <c r="E382" t="s">
        <v>22</v>
      </c>
      <c r="F382" t="s">
        <v>24</v>
      </c>
      <c r="G382" t="s">
        <v>113</v>
      </c>
      <c r="H382">
        <v>2</v>
      </c>
      <c r="I382" t="str">
        <f>_xlfn.XLOOKUP(tbl_Students[[#This Row],[school_id]],tbl_Schools[school_id],tbl_Schools[school_name],"Unknown")</f>
        <v>Mousinho da Silveira</v>
      </c>
      <c r="J382" t="str">
        <f t="shared" si="5"/>
        <v>17-18</v>
      </c>
    </row>
    <row r="383" spans="1:10" x14ac:dyDescent="0.35">
      <c r="A383">
        <v>382</v>
      </c>
      <c r="B383" t="s">
        <v>26</v>
      </c>
      <c r="C383">
        <v>18</v>
      </c>
      <c r="D383" t="s">
        <v>28</v>
      </c>
      <c r="E383" t="s">
        <v>22</v>
      </c>
      <c r="F383" t="s">
        <v>24</v>
      </c>
      <c r="G383" t="s">
        <v>112</v>
      </c>
      <c r="H383">
        <v>2</v>
      </c>
      <c r="I383" t="str">
        <f>_xlfn.XLOOKUP(tbl_Students[[#This Row],[school_id]],tbl_Schools[school_id],tbl_Schools[school_name],"Unknown")</f>
        <v>Mousinho da Silveira</v>
      </c>
      <c r="J383" t="str">
        <f t="shared" si="5"/>
        <v>17-18</v>
      </c>
    </row>
    <row r="384" spans="1:10" x14ac:dyDescent="0.35">
      <c r="A384">
        <v>383</v>
      </c>
      <c r="B384" t="s">
        <v>26</v>
      </c>
      <c r="C384">
        <v>17</v>
      </c>
      <c r="D384" t="s">
        <v>21</v>
      </c>
      <c r="E384" t="s">
        <v>22</v>
      </c>
      <c r="F384" t="s">
        <v>24</v>
      </c>
      <c r="G384" t="s">
        <v>113</v>
      </c>
      <c r="H384">
        <v>2</v>
      </c>
      <c r="I384" t="str">
        <f>_xlfn.XLOOKUP(tbl_Students[[#This Row],[school_id]],tbl_Schools[school_id],tbl_Schools[school_name],"Unknown")</f>
        <v>Mousinho da Silveira</v>
      </c>
      <c r="J384" t="str">
        <f t="shared" si="5"/>
        <v>17-18</v>
      </c>
    </row>
    <row r="385" spans="1:10" x14ac:dyDescent="0.35">
      <c r="A385">
        <v>384</v>
      </c>
      <c r="B385" t="s">
        <v>26</v>
      </c>
      <c r="C385">
        <v>19</v>
      </c>
      <c r="D385" t="s">
        <v>28</v>
      </c>
      <c r="E385" t="s">
        <v>22</v>
      </c>
      <c r="F385" t="s">
        <v>24</v>
      </c>
      <c r="G385" t="s">
        <v>112</v>
      </c>
      <c r="H385">
        <v>2</v>
      </c>
      <c r="I385" t="str">
        <f>_xlfn.XLOOKUP(tbl_Students[[#This Row],[school_id]],tbl_Schools[school_id],tbl_Schools[school_name],"Unknown")</f>
        <v>Mousinho da Silveira</v>
      </c>
      <c r="J385" t="str">
        <f t="shared" si="5"/>
        <v>19-20</v>
      </c>
    </row>
    <row r="386" spans="1:10" x14ac:dyDescent="0.35">
      <c r="A386">
        <v>385</v>
      </c>
      <c r="B386" t="s">
        <v>26</v>
      </c>
      <c r="C386">
        <v>18</v>
      </c>
      <c r="D386" t="s">
        <v>28</v>
      </c>
      <c r="E386" t="s">
        <v>22</v>
      </c>
      <c r="F386" t="s">
        <v>24</v>
      </c>
      <c r="G386" t="s">
        <v>113</v>
      </c>
      <c r="H386">
        <v>2</v>
      </c>
      <c r="I386" t="str">
        <f>_xlfn.XLOOKUP(tbl_Students[[#This Row],[school_id]],tbl_Schools[school_id],tbl_Schools[school_name],"Unknown")</f>
        <v>Mousinho da Silveira</v>
      </c>
      <c r="J386" t="str">
        <f t="shared" ref="J386:J396" si="6">IF(C386&lt;=16,"15-16",IF(C386&lt;=18,"17-18",IF(C386&lt;=20,"19-20","21-22")))</f>
        <v>17-18</v>
      </c>
    </row>
    <row r="387" spans="1:10" x14ac:dyDescent="0.35">
      <c r="A387">
        <v>386</v>
      </c>
      <c r="B387" t="s">
        <v>20</v>
      </c>
      <c r="C387">
        <v>18</v>
      </c>
      <c r="D387" t="s">
        <v>28</v>
      </c>
      <c r="E387" t="s">
        <v>22</v>
      </c>
      <c r="F387" t="s">
        <v>24</v>
      </c>
      <c r="G387" t="s">
        <v>112</v>
      </c>
      <c r="H387">
        <v>2</v>
      </c>
      <c r="I387" t="str">
        <f>_xlfn.XLOOKUP(tbl_Students[[#This Row],[school_id]],tbl_Schools[school_id],tbl_Schools[school_name],"Unknown")</f>
        <v>Mousinho da Silveira</v>
      </c>
      <c r="J387" t="str">
        <f t="shared" si="6"/>
        <v>17-18</v>
      </c>
    </row>
    <row r="388" spans="1:10" x14ac:dyDescent="0.35">
      <c r="A388">
        <v>387</v>
      </c>
      <c r="B388" t="s">
        <v>20</v>
      </c>
      <c r="C388">
        <v>18</v>
      </c>
      <c r="D388" t="s">
        <v>28</v>
      </c>
      <c r="E388" t="s">
        <v>22</v>
      </c>
      <c r="F388" t="s">
        <v>24</v>
      </c>
      <c r="G388" t="s">
        <v>112</v>
      </c>
      <c r="H388">
        <v>2</v>
      </c>
      <c r="I388" t="str">
        <f>_xlfn.XLOOKUP(tbl_Students[[#This Row],[school_id]],tbl_Schools[school_id],tbl_Schools[school_name],"Unknown")</f>
        <v>Mousinho da Silveira</v>
      </c>
      <c r="J388" t="str">
        <f t="shared" si="6"/>
        <v>17-18</v>
      </c>
    </row>
    <row r="389" spans="1:10" x14ac:dyDescent="0.35">
      <c r="A389">
        <v>388</v>
      </c>
      <c r="B389" t="s">
        <v>20</v>
      </c>
      <c r="C389">
        <v>19</v>
      </c>
      <c r="D389" t="s">
        <v>28</v>
      </c>
      <c r="E389" t="s">
        <v>22</v>
      </c>
      <c r="F389" t="s">
        <v>24</v>
      </c>
      <c r="G389" t="s">
        <v>112</v>
      </c>
      <c r="H389">
        <v>2</v>
      </c>
      <c r="I389" t="str">
        <f>_xlfn.XLOOKUP(tbl_Students[[#This Row],[school_id]],tbl_Schools[school_id],tbl_Schools[school_name],"Unknown")</f>
        <v>Mousinho da Silveira</v>
      </c>
      <c r="J389" t="str">
        <f t="shared" si="6"/>
        <v>19-20</v>
      </c>
    </row>
    <row r="390" spans="1:10" x14ac:dyDescent="0.35">
      <c r="A390">
        <v>389</v>
      </c>
      <c r="B390" t="s">
        <v>20</v>
      </c>
      <c r="C390">
        <v>18</v>
      </c>
      <c r="D390" t="s">
        <v>21</v>
      </c>
      <c r="E390" t="s">
        <v>25</v>
      </c>
      <c r="F390" t="s">
        <v>24</v>
      </c>
      <c r="G390" t="s">
        <v>112</v>
      </c>
      <c r="H390">
        <v>2</v>
      </c>
      <c r="I390" t="str">
        <f>_xlfn.XLOOKUP(tbl_Students[[#This Row],[school_id]],tbl_Schools[school_id],tbl_Schools[school_name],"Unknown")</f>
        <v>Mousinho da Silveira</v>
      </c>
      <c r="J390" t="str">
        <f t="shared" si="6"/>
        <v>17-18</v>
      </c>
    </row>
    <row r="391" spans="1:10" x14ac:dyDescent="0.35">
      <c r="A391">
        <v>390</v>
      </c>
      <c r="B391" t="s">
        <v>20</v>
      </c>
      <c r="C391">
        <v>18</v>
      </c>
      <c r="D391" t="s">
        <v>21</v>
      </c>
      <c r="E391" t="s">
        <v>22</v>
      </c>
      <c r="F391" t="s">
        <v>24</v>
      </c>
      <c r="G391" t="s">
        <v>112</v>
      </c>
      <c r="H391">
        <v>2</v>
      </c>
      <c r="I391" t="str">
        <f>_xlfn.XLOOKUP(tbl_Students[[#This Row],[school_id]],tbl_Schools[school_id],tbl_Schools[school_name],"Unknown")</f>
        <v>Mousinho da Silveira</v>
      </c>
      <c r="J391" t="str">
        <f t="shared" si="6"/>
        <v>17-18</v>
      </c>
    </row>
    <row r="392" spans="1:10" x14ac:dyDescent="0.35">
      <c r="A392">
        <v>391</v>
      </c>
      <c r="B392" t="s">
        <v>26</v>
      </c>
      <c r="C392">
        <v>20</v>
      </c>
      <c r="D392" t="s">
        <v>21</v>
      </c>
      <c r="E392" t="s">
        <v>25</v>
      </c>
      <c r="F392" t="s">
        <v>23</v>
      </c>
      <c r="G392" t="s">
        <v>27</v>
      </c>
      <c r="H392">
        <v>2</v>
      </c>
      <c r="I392" t="str">
        <f>_xlfn.XLOOKUP(tbl_Students[[#This Row],[school_id]],tbl_Schools[school_id],tbl_Schools[school_name],"Unknown")</f>
        <v>Mousinho da Silveira</v>
      </c>
      <c r="J392" t="str">
        <f t="shared" si="6"/>
        <v>19-20</v>
      </c>
    </row>
    <row r="393" spans="1:10" x14ac:dyDescent="0.35">
      <c r="A393">
        <v>392</v>
      </c>
      <c r="B393" t="s">
        <v>26</v>
      </c>
      <c r="C393">
        <v>17</v>
      </c>
      <c r="D393" t="s">
        <v>21</v>
      </c>
      <c r="E393" t="s">
        <v>25</v>
      </c>
      <c r="F393" t="s">
        <v>24</v>
      </c>
      <c r="G393" t="s">
        <v>112</v>
      </c>
      <c r="H393">
        <v>2</v>
      </c>
      <c r="I393" t="str">
        <f>_xlfn.XLOOKUP(tbl_Students[[#This Row],[school_id]],tbl_Schools[school_id],tbl_Schools[school_name],"Unknown")</f>
        <v>Mousinho da Silveira</v>
      </c>
      <c r="J393" t="str">
        <f t="shared" si="6"/>
        <v>17-18</v>
      </c>
    </row>
    <row r="394" spans="1:10" x14ac:dyDescent="0.35">
      <c r="A394">
        <v>393</v>
      </c>
      <c r="B394" t="s">
        <v>26</v>
      </c>
      <c r="C394">
        <v>21</v>
      </c>
      <c r="D394" t="s">
        <v>28</v>
      </c>
      <c r="E394" t="s">
        <v>22</v>
      </c>
      <c r="F394" t="s">
        <v>24</v>
      </c>
      <c r="G394" t="s">
        <v>27</v>
      </c>
      <c r="H394">
        <v>2</v>
      </c>
      <c r="I394" t="str">
        <f>_xlfn.XLOOKUP(tbl_Students[[#This Row],[school_id]],tbl_Schools[school_id],tbl_Schools[school_name],"Unknown")</f>
        <v>Mousinho da Silveira</v>
      </c>
      <c r="J394" t="str">
        <f t="shared" si="6"/>
        <v>21-22</v>
      </c>
    </row>
    <row r="395" spans="1:10" x14ac:dyDescent="0.35">
      <c r="A395">
        <v>394</v>
      </c>
      <c r="B395" t="s">
        <v>26</v>
      </c>
      <c r="C395">
        <v>18</v>
      </c>
      <c r="D395" t="s">
        <v>28</v>
      </c>
      <c r="E395" t="s">
        <v>25</v>
      </c>
      <c r="F395" t="s">
        <v>24</v>
      </c>
      <c r="G395" t="s">
        <v>112</v>
      </c>
      <c r="H395">
        <v>2</v>
      </c>
      <c r="I395" t="str">
        <f>_xlfn.XLOOKUP(tbl_Students[[#This Row],[school_id]],tbl_Schools[school_id],tbl_Schools[school_name],"Unknown")</f>
        <v>Mousinho da Silveira</v>
      </c>
      <c r="J395" t="str">
        <f t="shared" si="6"/>
        <v>17-18</v>
      </c>
    </row>
    <row r="396" spans="1:10" x14ac:dyDescent="0.35">
      <c r="A396">
        <v>395</v>
      </c>
      <c r="B396" t="s">
        <v>26</v>
      </c>
      <c r="C396">
        <v>19</v>
      </c>
      <c r="D396" t="s">
        <v>21</v>
      </c>
      <c r="E396" t="s">
        <v>25</v>
      </c>
      <c r="F396" t="s">
        <v>24</v>
      </c>
      <c r="G396" t="s">
        <v>113</v>
      </c>
      <c r="H396">
        <v>2</v>
      </c>
      <c r="I396" t="str">
        <f>_xlfn.XLOOKUP(tbl_Students[[#This Row],[school_id]],tbl_Schools[school_id],tbl_Schools[school_name],"Unknown")</f>
        <v>Mousinho da Silveira</v>
      </c>
      <c r="J396" t="str">
        <f t="shared" si="6"/>
        <v>19-20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95C95-58A4-4CD9-B867-FDB892C80C82}">
  <dimension ref="A1:D396"/>
  <sheetViews>
    <sheetView workbookViewId="0">
      <selection activeCell="B6" sqref="B6"/>
    </sheetView>
  </sheetViews>
  <sheetFormatPr defaultRowHeight="14.5" x14ac:dyDescent="0.35"/>
  <cols>
    <col min="1" max="1" width="11.7265625" bestFit="1" customWidth="1"/>
    <col min="2" max="3" width="9.453125" bestFit="1" customWidth="1"/>
    <col min="4" max="4" width="12" bestFit="1" customWidth="1"/>
  </cols>
  <sheetData>
    <row r="1" spans="1:4" x14ac:dyDescent="0.35">
      <c r="A1" t="s">
        <v>0</v>
      </c>
      <c r="B1" t="s">
        <v>55</v>
      </c>
      <c r="C1" t="s">
        <v>56</v>
      </c>
      <c r="D1" t="s">
        <v>57</v>
      </c>
    </row>
    <row r="2" spans="1:4" x14ac:dyDescent="0.35">
      <c r="A2">
        <v>1</v>
      </c>
      <c r="B2">
        <v>5</v>
      </c>
      <c r="C2">
        <v>6</v>
      </c>
      <c r="D2">
        <v>6</v>
      </c>
    </row>
    <row r="3" spans="1:4" x14ac:dyDescent="0.35">
      <c r="A3">
        <v>2</v>
      </c>
      <c r="B3">
        <v>5</v>
      </c>
      <c r="C3">
        <v>5</v>
      </c>
      <c r="D3">
        <v>5</v>
      </c>
    </row>
    <row r="4" spans="1:4" x14ac:dyDescent="0.35">
      <c r="A4">
        <v>3</v>
      </c>
      <c r="B4">
        <v>7</v>
      </c>
      <c r="C4">
        <v>8</v>
      </c>
      <c r="D4">
        <v>10</v>
      </c>
    </row>
    <row r="5" spans="1:4" x14ac:dyDescent="0.35">
      <c r="A5">
        <v>4</v>
      </c>
      <c r="B5">
        <v>15</v>
      </c>
      <c r="C5">
        <v>14</v>
      </c>
      <c r="D5">
        <v>15</v>
      </c>
    </row>
    <row r="6" spans="1:4" x14ac:dyDescent="0.35">
      <c r="A6">
        <v>5</v>
      </c>
      <c r="B6">
        <v>6</v>
      </c>
      <c r="C6">
        <v>10</v>
      </c>
      <c r="D6">
        <v>10</v>
      </c>
    </row>
    <row r="7" spans="1:4" x14ac:dyDescent="0.35">
      <c r="A7">
        <v>6</v>
      </c>
      <c r="B7">
        <v>15</v>
      </c>
      <c r="C7">
        <v>15</v>
      </c>
      <c r="D7">
        <v>15</v>
      </c>
    </row>
    <row r="8" spans="1:4" x14ac:dyDescent="0.35">
      <c r="A8">
        <v>7</v>
      </c>
      <c r="B8">
        <v>12</v>
      </c>
      <c r="C8">
        <v>12</v>
      </c>
      <c r="D8">
        <v>11</v>
      </c>
    </row>
    <row r="9" spans="1:4" x14ac:dyDescent="0.35">
      <c r="A9">
        <v>8</v>
      </c>
      <c r="B9">
        <v>6</v>
      </c>
      <c r="C9">
        <v>5</v>
      </c>
      <c r="D9">
        <v>6</v>
      </c>
    </row>
    <row r="10" spans="1:4" x14ac:dyDescent="0.35">
      <c r="A10">
        <v>9</v>
      </c>
      <c r="B10">
        <v>16</v>
      </c>
      <c r="C10">
        <v>18</v>
      </c>
      <c r="D10">
        <v>19</v>
      </c>
    </row>
    <row r="11" spans="1:4" x14ac:dyDescent="0.35">
      <c r="A11">
        <v>10</v>
      </c>
      <c r="B11">
        <v>14</v>
      </c>
      <c r="C11">
        <v>15</v>
      </c>
      <c r="D11">
        <v>15</v>
      </c>
    </row>
    <row r="12" spans="1:4" x14ac:dyDescent="0.35">
      <c r="A12">
        <v>11</v>
      </c>
      <c r="B12">
        <v>10</v>
      </c>
      <c r="C12">
        <v>8</v>
      </c>
      <c r="D12">
        <v>9</v>
      </c>
    </row>
    <row r="13" spans="1:4" x14ac:dyDescent="0.35">
      <c r="A13">
        <v>12</v>
      </c>
      <c r="B13">
        <v>10</v>
      </c>
      <c r="C13">
        <v>12</v>
      </c>
      <c r="D13">
        <v>12</v>
      </c>
    </row>
    <row r="14" spans="1:4" x14ac:dyDescent="0.35">
      <c r="A14">
        <v>13</v>
      </c>
      <c r="B14">
        <v>14</v>
      </c>
      <c r="C14">
        <v>14</v>
      </c>
      <c r="D14">
        <v>14</v>
      </c>
    </row>
    <row r="15" spans="1:4" x14ac:dyDescent="0.35">
      <c r="A15">
        <v>14</v>
      </c>
      <c r="B15">
        <v>10</v>
      </c>
      <c r="C15">
        <v>10</v>
      </c>
      <c r="D15">
        <v>11</v>
      </c>
    </row>
    <row r="16" spans="1:4" x14ac:dyDescent="0.35">
      <c r="A16">
        <v>15</v>
      </c>
      <c r="B16">
        <v>14</v>
      </c>
      <c r="C16">
        <v>16</v>
      </c>
      <c r="D16">
        <v>16</v>
      </c>
    </row>
    <row r="17" spans="1:4" x14ac:dyDescent="0.35">
      <c r="A17">
        <v>16</v>
      </c>
      <c r="B17">
        <v>14</v>
      </c>
      <c r="C17">
        <v>14</v>
      </c>
      <c r="D17">
        <v>14</v>
      </c>
    </row>
    <row r="18" spans="1:4" x14ac:dyDescent="0.35">
      <c r="A18">
        <v>17</v>
      </c>
      <c r="B18">
        <v>13</v>
      </c>
      <c r="C18">
        <v>14</v>
      </c>
      <c r="D18">
        <v>14</v>
      </c>
    </row>
    <row r="19" spans="1:4" x14ac:dyDescent="0.35">
      <c r="A19">
        <v>18</v>
      </c>
      <c r="B19">
        <v>8</v>
      </c>
      <c r="C19">
        <v>10</v>
      </c>
      <c r="D19">
        <v>10</v>
      </c>
    </row>
    <row r="20" spans="1:4" x14ac:dyDescent="0.35">
      <c r="A20">
        <v>19</v>
      </c>
      <c r="B20">
        <v>6</v>
      </c>
      <c r="C20">
        <v>5</v>
      </c>
      <c r="D20">
        <v>5</v>
      </c>
    </row>
    <row r="21" spans="1:4" x14ac:dyDescent="0.35">
      <c r="A21">
        <v>20</v>
      </c>
      <c r="B21">
        <v>8</v>
      </c>
      <c r="C21">
        <v>10</v>
      </c>
      <c r="D21">
        <v>10</v>
      </c>
    </row>
    <row r="22" spans="1:4" x14ac:dyDescent="0.35">
      <c r="A22">
        <v>21</v>
      </c>
      <c r="B22">
        <v>13</v>
      </c>
      <c r="C22">
        <v>14</v>
      </c>
      <c r="D22">
        <v>15</v>
      </c>
    </row>
    <row r="23" spans="1:4" x14ac:dyDescent="0.35">
      <c r="A23">
        <v>22</v>
      </c>
      <c r="B23">
        <v>12</v>
      </c>
      <c r="C23">
        <v>15</v>
      </c>
      <c r="D23">
        <v>15</v>
      </c>
    </row>
    <row r="24" spans="1:4" x14ac:dyDescent="0.35">
      <c r="A24">
        <v>23</v>
      </c>
      <c r="B24">
        <v>15</v>
      </c>
      <c r="C24">
        <v>15</v>
      </c>
      <c r="D24">
        <v>16</v>
      </c>
    </row>
    <row r="25" spans="1:4" x14ac:dyDescent="0.35">
      <c r="A25">
        <v>24</v>
      </c>
      <c r="B25">
        <v>13</v>
      </c>
      <c r="C25">
        <v>13</v>
      </c>
      <c r="D25">
        <v>12</v>
      </c>
    </row>
    <row r="26" spans="1:4" x14ac:dyDescent="0.35">
      <c r="A26">
        <v>25</v>
      </c>
      <c r="B26">
        <v>10</v>
      </c>
      <c r="C26">
        <v>9</v>
      </c>
      <c r="D26">
        <v>8</v>
      </c>
    </row>
    <row r="27" spans="1:4" x14ac:dyDescent="0.35">
      <c r="A27">
        <v>26</v>
      </c>
      <c r="B27">
        <v>6</v>
      </c>
      <c r="C27">
        <v>9</v>
      </c>
      <c r="D27">
        <v>8</v>
      </c>
    </row>
    <row r="28" spans="1:4" x14ac:dyDescent="0.35">
      <c r="A28">
        <v>27</v>
      </c>
      <c r="B28">
        <v>12</v>
      </c>
      <c r="C28">
        <v>12</v>
      </c>
      <c r="D28">
        <v>11</v>
      </c>
    </row>
    <row r="29" spans="1:4" x14ac:dyDescent="0.35">
      <c r="A29">
        <v>28</v>
      </c>
      <c r="B29">
        <v>15</v>
      </c>
      <c r="C29">
        <v>16</v>
      </c>
      <c r="D29">
        <v>15</v>
      </c>
    </row>
    <row r="30" spans="1:4" x14ac:dyDescent="0.35">
      <c r="A30">
        <v>29</v>
      </c>
      <c r="B30">
        <v>11</v>
      </c>
      <c r="C30">
        <v>11</v>
      </c>
      <c r="D30">
        <v>11</v>
      </c>
    </row>
    <row r="31" spans="1:4" x14ac:dyDescent="0.35">
      <c r="A31">
        <v>30</v>
      </c>
      <c r="B31">
        <v>10</v>
      </c>
      <c r="C31">
        <v>12</v>
      </c>
      <c r="D31">
        <v>11</v>
      </c>
    </row>
    <row r="32" spans="1:4" x14ac:dyDescent="0.35">
      <c r="A32">
        <v>31</v>
      </c>
      <c r="B32">
        <v>9</v>
      </c>
      <c r="C32">
        <v>11</v>
      </c>
      <c r="D32">
        <v>12</v>
      </c>
    </row>
    <row r="33" spans="1:4" x14ac:dyDescent="0.35">
      <c r="A33">
        <v>32</v>
      </c>
      <c r="B33">
        <v>17</v>
      </c>
      <c r="C33">
        <v>16</v>
      </c>
      <c r="D33">
        <v>17</v>
      </c>
    </row>
    <row r="34" spans="1:4" x14ac:dyDescent="0.35">
      <c r="A34">
        <v>33</v>
      </c>
      <c r="B34">
        <v>17</v>
      </c>
      <c r="C34">
        <v>16</v>
      </c>
      <c r="D34">
        <v>0</v>
      </c>
    </row>
    <row r="35" spans="1:4" x14ac:dyDescent="0.35">
      <c r="A35">
        <v>34</v>
      </c>
      <c r="B35">
        <v>8</v>
      </c>
      <c r="C35">
        <v>10</v>
      </c>
      <c r="D35">
        <v>12</v>
      </c>
    </row>
    <row r="36" spans="1:4" x14ac:dyDescent="0.35">
      <c r="A36">
        <v>35</v>
      </c>
      <c r="B36">
        <v>12</v>
      </c>
      <c r="C36">
        <v>14</v>
      </c>
      <c r="D36">
        <v>15</v>
      </c>
    </row>
    <row r="37" spans="1:4" x14ac:dyDescent="0.35">
      <c r="A37">
        <v>36</v>
      </c>
      <c r="B37">
        <v>8</v>
      </c>
      <c r="C37">
        <v>7</v>
      </c>
      <c r="D37">
        <v>6</v>
      </c>
    </row>
    <row r="38" spans="1:4" x14ac:dyDescent="0.35">
      <c r="A38">
        <v>37</v>
      </c>
      <c r="B38">
        <v>15</v>
      </c>
      <c r="C38">
        <v>16</v>
      </c>
      <c r="D38">
        <v>18</v>
      </c>
    </row>
    <row r="39" spans="1:4" x14ac:dyDescent="0.35">
      <c r="A39">
        <v>38</v>
      </c>
      <c r="B39">
        <v>15</v>
      </c>
      <c r="C39">
        <v>16</v>
      </c>
      <c r="D39">
        <v>15</v>
      </c>
    </row>
    <row r="40" spans="1:4" x14ac:dyDescent="0.35">
      <c r="A40">
        <v>39</v>
      </c>
      <c r="B40">
        <v>12</v>
      </c>
      <c r="C40">
        <v>12</v>
      </c>
      <c r="D40">
        <v>11</v>
      </c>
    </row>
    <row r="41" spans="1:4" x14ac:dyDescent="0.35">
      <c r="A41">
        <v>40</v>
      </c>
      <c r="B41">
        <v>14</v>
      </c>
      <c r="C41">
        <v>13</v>
      </c>
      <c r="D41">
        <v>13</v>
      </c>
    </row>
    <row r="42" spans="1:4" x14ac:dyDescent="0.35">
      <c r="A42">
        <v>41</v>
      </c>
      <c r="B42">
        <v>7</v>
      </c>
      <c r="C42">
        <v>10</v>
      </c>
      <c r="D42">
        <v>11</v>
      </c>
    </row>
    <row r="43" spans="1:4" x14ac:dyDescent="0.35">
      <c r="A43">
        <v>42</v>
      </c>
      <c r="B43">
        <v>12</v>
      </c>
      <c r="C43">
        <v>12</v>
      </c>
      <c r="D43">
        <v>12</v>
      </c>
    </row>
    <row r="44" spans="1:4" x14ac:dyDescent="0.35">
      <c r="A44">
        <v>43</v>
      </c>
      <c r="B44">
        <v>19</v>
      </c>
      <c r="C44">
        <v>18</v>
      </c>
      <c r="D44">
        <v>18</v>
      </c>
    </row>
    <row r="45" spans="1:4" x14ac:dyDescent="0.35">
      <c r="A45">
        <v>44</v>
      </c>
      <c r="B45">
        <v>8</v>
      </c>
      <c r="C45">
        <v>8</v>
      </c>
      <c r="D45">
        <v>11</v>
      </c>
    </row>
    <row r="46" spans="1:4" x14ac:dyDescent="0.35">
      <c r="A46">
        <v>45</v>
      </c>
      <c r="B46">
        <v>10</v>
      </c>
      <c r="C46">
        <v>10</v>
      </c>
      <c r="D46">
        <v>9</v>
      </c>
    </row>
    <row r="47" spans="1:4" x14ac:dyDescent="0.35">
      <c r="A47">
        <v>46</v>
      </c>
      <c r="B47">
        <v>8</v>
      </c>
      <c r="C47">
        <v>8</v>
      </c>
      <c r="D47">
        <v>6</v>
      </c>
    </row>
    <row r="48" spans="1:4" x14ac:dyDescent="0.35">
      <c r="A48">
        <v>47</v>
      </c>
      <c r="B48">
        <v>11</v>
      </c>
      <c r="C48">
        <v>11</v>
      </c>
      <c r="D48">
        <v>11</v>
      </c>
    </row>
    <row r="49" spans="1:4" x14ac:dyDescent="0.35">
      <c r="A49">
        <v>48</v>
      </c>
      <c r="B49">
        <v>19</v>
      </c>
      <c r="C49">
        <v>19</v>
      </c>
      <c r="D49">
        <v>20</v>
      </c>
    </row>
    <row r="50" spans="1:4" x14ac:dyDescent="0.35">
      <c r="A50">
        <v>49</v>
      </c>
      <c r="B50">
        <v>15</v>
      </c>
      <c r="C50">
        <v>15</v>
      </c>
      <c r="D50">
        <v>14</v>
      </c>
    </row>
    <row r="51" spans="1:4" x14ac:dyDescent="0.35">
      <c r="A51">
        <v>50</v>
      </c>
      <c r="B51">
        <v>7</v>
      </c>
      <c r="C51">
        <v>7</v>
      </c>
      <c r="D51">
        <v>7</v>
      </c>
    </row>
    <row r="52" spans="1:4" x14ac:dyDescent="0.35">
      <c r="A52">
        <v>51</v>
      </c>
      <c r="B52">
        <v>12</v>
      </c>
      <c r="C52">
        <v>13</v>
      </c>
      <c r="D52">
        <v>13</v>
      </c>
    </row>
    <row r="53" spans="1:4" x14ac:dyDescent="0.35">
      <c r="A53">
        <v>52</v>
      </c>
      <c r="B53">
        <v>11</v>
      </c>
      <c r="C53">
        <v>13</v>
      </c>
      <c r="D53">
        <v>13</v>
      </c>
    </row>
    <row r="54" spans="1:4" x14ac:dyDescent="0.35">
      <c r="A54">
        <v>53</v>
      </c>
      <c r="B54">
        <v>11</v>
      </c>
      <c r="C54">
        <v>11</v>
      </c>
      <c r="D54">
        <v>10</v>
      </c>
    </row>
    <row r="55" spans="1:4" x14ac:dyDescent="0.35">
      <c r="A55">
        <v>54</v>
      </c>
      <c r="B55">
        <v>8</v>
      </c>
      <c r="C55">
        <v>10</v>
      </c>
      <c r="D55">
        <v>11</v>
      </c>
    </row>
    <row r="56" spans="1:4" x14ac:dyDescent="0.35">
      <c r="A56">
        <v>55</v>
      </c>
      <c r="B56">
        <v>10</v>
      </c>
      <c r="C56">
        <v>13</v>
      </c>
      <c r="D56">
        <v>13</v>
      </c>
    </row>
    <row r="57" spans="1:4" x14ac:dyDescent="0.35">
      <c r="A57">
        <v>56</v>
      </c>
      <c r="B57">
        <v>8</v>
      </c>
      <c r="C57">
        <v>9</v>
      </c>
      <c r="D57">
        <v>10</v>
      </c>
    </row>
    <row r="58" spans="1:4" x14ac:dyDescent="0.35">
      <c r="A58">
        <v>57</v>
      </c>
      <c r="B58">
        <v>14</v>
      </c>
      <c r="C58">
        <v>14.5</v>
      </c>
      <c r="D58">
        <v>15</v>
      </c>
    </row>
    <row r="59" spans="1:4" x14ac:dyDescent="0.35">
      <c r="A59">
        <v>58</v>
      </c>
      <c r="B59">
        <v>14</v>
      </c>
      <c r="C59">
        <v>15</v>
      </c>
      <c r="D59">
        <v>15</v>
      </c>
    </row>
    <row r="60" spans="1:4" x14ac:dyDescent="0.35">
      <c r="A60">
        <v>59</v>
      </c>
      <c r="B60">
        <v>9</v>
      </c>
      <c r="C60">
        <v>10</v>
      </c>
      <c r="D60">
        <v>9</v>
      </c>
    </row>
    <row r="61" spans="1:4" x14ac:dyDescent="0.35">
      <c r="A61">
        <v>60</v>
      </c>
      <c r="B61">
        <v>15</v>
      </c>
      <c r="C61">
        <v>16</v>
      </c>
      <c r="D61">
        <v>16</v>
      </c>
    </row>
    <row r="62" spans="1:4" x14ac:dyDescent="0.35">
      <c r="A62">
        <v>61</v>
      </c>
      <c r="B62">
        <v>10</v>
      </c>
      <c r="C62">
        <v>11</v>
      </c>
      <c r="D62">
        <v>11</v>
      </c>
    </row>
    <row r="63" spans="1:4" x14ac:dyDescent="0.35">
      <c r="A63">
        <v>62</v>
      </c>
      <c r="B63">
        <v>10</v>
      </c>
      <c r="C63">
        <v>8</v>
      </c>
      <c r="D63">
        <v>11</v>
      </c>
    </row>
    <row r="64" spans="1:4" x14ac:dyDescent="0.35">
      <c r="A64">
        <v>63</v>
      </c>
      <c r="B64">
        <v>8</v>
      </c>
      <c r="C64">
        <v>10</v>
      </c>
      <c r="D64">
        <v>9</v>
      </c>
    </row>
    <row r="65" spans="1:4" x14ac:dyDescent="0.35">
      <c r="A65">
        <v>64</v>
      </c>
      <c r="B65">
        <v>10</v>
      </c>
      <c r="C65">
        <v>9</v>
      </c>
      <c r="D65">
        <v>9</v>
      </c>
    </row>
    <row r="66" spans="1:4" x14ac:dyDescent="0.35">
      <c r="A66">
        <v>65</v>
      </c>
      <c r="B66">
        <v>10</v>
      </c>
      <c r="C66">
        <v>10</v>
      </c>
      <c r="D66">
        <v>10</v>
      </c>
    </row>
    <row r="67" spans="1:4" x14ac:dyDescent="0.35">
      <c r="A67">
        <v>66</v>
      </c>
      <c r="B67">
        <v>16</v>
      </c>
      <c r="C67">
        <v>15</v>
      </c>
      <c r="D67">
        <v>15</v>
      </c>
    </row>
    <row r="68" spans="1:4" x14ac:dyDescent="0.35">
      <c r="A68">
        <v>67</v>
      </c>
      <c r="B68">
        <v>13</v>
      </c>
      <c r="C68">
        <v>13</v>
      </c>
      <c r="D68">
        <v>12</v>
      </c>
    </row>
    <row r="69" spans="1:4" x14ac:dyDescent="0.35">
      <c r="A69">
        <v>68</v>
      </c>
      <c r="B69">
        <v>7</v>
      </c>
      <c r="C69">
        <v>7</v>
      </c>
      <c r="D69">
        <v>6</v>
      </c>
    </row>
    <row r="70" spans="1:4" x14ac:dyDescent="0.35">
      <c r="A70">
        <v>69</v>
      </c>
      <c r="B70">
        <v>8</v>
      </c>
      <c r="C70">
        <v>9</v>
      </c>
      <c r="D70">
        <v>8</v>
      </c>
    </row>
    <row r="71" spans="1:4" x14ac:dyDescent="0.35">
      <c r="A71">
        <v>70</v>
      </c>
      <c r="B71">
        <v>16</v>
      </c>
      <c r="C71">
        <v>16</v>
      </c>
      <c r="D71">
        <v>16</v>
      </c>
    </row>
    <row r="72" spans="1:4" x14ac:dyDescent="0.35">
      <c r="A72">
        <v>71</v>
      </c>
      <c r="B72">
        <v>15</v>
      </c>
      <c r="C72">
        <v>15</v>
      </c>
      <c r="D72">
        <v>15</v>
      </c>
    </row>
    <row r="73" spans="1:4" x14ac:dyDescent="0.35">
      <c r="A73">
        <v>72</v>
      </c>
      <c r="B73">
        <v>10</v>
      </c>
      <c r="C73">
        <v>10</v>
      </c>
      <c r="D73">
        <v>10</v>
      </c>
    </row>
    <row r="74" spans="1:4" x14ac:dyDescent="0.35">
      <c r="A74">
        <v>73</v>
      </c>
      <c r="B74">
        <v>8</v>
      </c>
      <c r="C74">
        <v>6</v>
      </c>
      <c r="D74">
        <v>5</v>
      </c>
    </row>
    <row r="75" spans="1:4" x14ac:dyDescent="0.35">
      <c r="A75">
        <v>74</v>
      </c>
      <c r="B75">
        <v>12</v>
      </c>
      <c r="C75">
        <v>12</v>
      </c>
      <c r="D75">
        <v>14</v>
      </c>
    </row>
    <row r="76" spans="1:4" x14ac:dyDescent="0.35">
      <c r="A76">
        <v>75</v>
      </c>
      <c r="B76">
        <v>11</v>
      </c>
      <c r="C76">
        <v>12</v>
      </c>
      <c r="D76">
        <v>11</v>
      </c>
    </row>
    <row r="77" spans="1:4" x14ac:dyDescent="0.35">
      <c r="A77">
        <v>76</v>
      </c>
      <c r="B77">
        <v>9</v>
      </c>
      <c r="C77">
        <v>9</v>
      </c>
      <c r="D77">
        <v>10</v>
      </c>
    </row>
    <row r="78" spans="1:4" x14ac:dyDescent="0.35">
      <c r="A78">
        <v>77</v>
      </c>
      <c r="B78">
        <v>11</v>
      </c>
      <c r="C78">
        <v>11</v>
      </c>
      <c r="D78">
        <v>10</v>
      </c>
    </row>
    <row r="79" spans="1:4" x14ac:dyDescent="0.35">
      <c r="A79">
        <v>78</v>
      </c>
      <c r="B79">
        <v>11</v>
      </c>
      <c r="C79">
        <v>11</v>
      </c>
      <c r="D79">
        <v>11</v>
      </c>
    </row>
    <row r="80" spans="1:4" x14ac:dyDescent="0.35">
      <c r="A80">
        <v>79</v>
      </c>
      <c r="B80">
        <v>8</v>
      </c>
      <c r="C80">
        <v>9</v>
      </c>
      <c r="D80">
        <v>10</v>
      </c>
    </row>
    <row r="81" spans="1:4" x14ac:dyDescent="0.35">
      <c r="A81">
        <v>80</v>
      </c>
      <c r="B81">
        <v>5</v>
      </c>
      <c r="C81">
        <v>5</v>
      </c>
      <c r="D81">
        <v>5</v>
      </c>
    </row>
    <row r="82" spans="1:4" x14ac:dyDescent="0.35">
      <c r="A82">
        <v>81</v>
      </c>
      <c r="B82">
        <v>10</v>
      </c>
      <c r="C82">
        <v>12</v>
      </c>
      <c r="D82">
        <v>12</v>
      </c>
    </row>
    <row r="83" spans="1:4" x14ac:dyDescent="0.35">
      <c r="A83">
        <v>82</v>
      </c>
      <c r="B83">
        <v>11</v>
      </c>
      <c r="C83">
        <v>11</v>
      </c>
      <c r="D83">
        <v>11</v>
      </c>
    </row>
    <row r="84" spans="1:4" x14ac:dyDescent="0.35">
      <c r="A84">
        <v>83</v>
      </c>
      <c r="B84">
        <v>7</v>
      </c>
      <c r="C84">
        <v>6</v>
      </c>
      <c r="D84">
        <v>6</v>
      </c>
    </row>
    <row r="85" spans="1:4" x14ac:dyDescent="0.35">
      <c r="A85">
        <v>84</v>
      </c>
      <c r="B85">
        <v>15</v>
      </c>
      <c r="C85">
        <v>15</v>
      </c>
      <c r="D85">
        <v>15</v>
      </c>
    </row>
    <row r="86" spans="1:4" x14ac:dyDescent="0.35">
      <c r="A86">
        <v>85</v>
      </c>
      <c r="B86">
        <v>9</v>
      </c>
      <c r="C86">
        <v>10</v>
      </c>
      <c r="D86">
        <v>9.5</v>
      </c>
    </row>
    <row r="87" spans="1:4" x14ac:dyDescent="0.35">
      <c r="A87">
        <v>86</v>
      </c>
      <c r="B87">
        <v>7</v>
      </c>
      <c r="C87">
        <v>9</v>
      </c>
      <c r="D87">
        <v>8</v>
      </c>
    </row>
    <row r="88" spans="1:4" x14ac:dyDescent="0.35">
      <c r="A88">
        <v>87</v>
      </c>
      <c r="B88">
        <v>8</v>
      </c>
      <c r="C88">
        <v>7</v>
      </c>
      <c r="D88">
        <v>6</v>
      </c>
    </row>
    <row r="89" spans="1:4" x14ac:dyDescent="0.35">
      <c r="A89">
        <v>88</v>
      </c>
      <c r="B89">
        <v>13</v>
      </c>
      <c r="C89">
        <v>14</v>
      </c>
      <c r="D89">
        <v>14</v>
      </c>
    </row>
    <row r="90" spans="1:4" x14ac:dyDescent="0.35">
      <c r="A90">
        <v>89</v>
      </c>
      <c r="B90">
        <v>11</v>
      </c>
      <c r="C90">
        <v>10</v>
      </c>
      <c r="D90">
        <v>10</v>
      </c>
    </row>
    <row r="91" spans="1:4" x14ac:dyDescent="0.35">
      <c r="A91">
        <v>90</v>
      </c>
      <c r="B91">
        <v>8</v>
      </c>
      <c r="C91">
        <v>6</v>
      </c>
      <c r="D91">
        <v>7</v>
      </c>
    </row>
    <row r="92" spans="1:4" x14ac:dyDescent="0.35">
      <c r="A92">
        <v>91</v>
      </c>
      <c r="B92">
        <v>7</v>
      </c>
      <c r="C92">
        <v>7</v>
      </c>
      <c r="D92">
        <v>8</v>
      </c>
    </row>
    <row r="93" spans="1:4" x14ac:dyDescent="0.35">
      <c r="A93">
        <v>92</v>
      </c>
      <c r="B93">
        <v>16</v>
      </c>
      <c r="C93">
        <v>17</v>
      </c>
      <c r="D93">
        <v>18</v>
      </c>
    </row>
    <row r="94" spans="1:4" x14ac:dyDescent="0.35">
      <c r="A94">
        <v>93</v>
      </c>
      <c r="B94">
        <v>7</v>
      </c>
      <c r="C94">
        <v>6</v>
      </c>
      <c r="D94">
        <v>6</v>
      </c>
    </row>
    <row r="95" spans="1:4" x14ac:dyDescent="0.35">
      <c r="A95">
        <v>94</v>
      </c>
      <c r="B95">
        <v>11</v>
      </c>
      <c r="C95">
        <v>10</v>
      </c>
      <c r="D95">
        <v>10</v>
      </c>
    </row>
    <row r="96" spans="1:4" x14ac:dyDescent="0.35">
      <c r="A96">
        <v>95</v>
      </c>
      <c r="B96">
        <v>11</v>
      </c>
      <c r="C96">
        <v>13</v>
      </c>
      <c r="D96">
        <v>14</v>
      </c>
    </row>
    <row r="97" spans="1:4" x14ac:dyDescent="0.35">
      <c r="A97">
        <v>96</v>
      </c>
      <c r="B97">
        <v>7</v>
      </c>
      <c r="C97">
        <v>10</v>
      </c>
      <c r="D97">
        <v>10</v>
      </c>
    </row>
    <row r="98" spans="1:4" x14ac:dyDescent="0.35">
      <c r="A98">
        <v>97</v>
      </c>
      <c r="B98">
        <v>11</v>
      </c>
      <c r="C98">
        <v>15</v>
      </c>
      <c r="D98">
        <v>15</v>
      </c>
    </row>
    <row r="99" spans="1:4" x14ac:dyDescent="0.35">
      <c r="A99">
        <v>98</v>
      </c>
      <c r="B99">
        <v>8</v>
      </c>
      <c r="C99">
        <v>9</v>
      </c>
      <c r="D99">
        <v>10</v>
      </c>
    </row>
    <row r="100" spans="1:4" x14ac:dyDescent="0.35">
      <c r="A100">
        <v>99</v>
      </c>
      <c r="B100">
        <v>11</v>
      </c>
      <c r="C100">
        <v>14</v>
      </c>
      <c r="D100">
        <v>14</v>
      </c>
    </row>
    <row r="101" spans="1:4" x14ac:dyDescent="0.35">
      <c r="A101">
        <v>100</v>
      </c>
      <c r="B101">
        <v>7</v>
      </c>
      <c r="C101">
        <v>9</v>
      </c>
      <c r="D101">
        <v>8</v>
      </c>
    </row>
    <row r="102" spans="1:4" x14ac:dyDescent="0.35">
      <c r="A102">
        <v>101</v>
      </c>
      <c r="B102">
        <v>7</v>
      </c>
      <c r="C102">
        <v>7</v>
      </c>
      <c r="D102">
        <v>5</v>
      </c>
    </row>
    <row r="103" spans="1:4" x14ac:dyDescent="0.35">
      <c r="A103">
        <v>102</v>
      </c>
      <c r="B103">
        <v>16</v>
      </c>
      <c r="C103">
        <v>17</v>
      </c>
      <c r="D103">
        <v>17</v>
      </c>
    </row>
    <row r="104" spans="1:4" x14ac:dyDescent="0.35">
      <c r="A104">
        <v>103</v>
      </c>
      <c r="B104">
        <v>10</v>
      </c>
      <c r="C104">
        <v>13</v>
      </c>
      <c r="D104">
        <v>14</v>
      </c>
    </row>
    <row r="105" spans="1:4" x14ac:dyDescent="0.35">
      <c r="A105">
        <v>104</v>
      </c>
      <c r="B105">
        <v>7</v>
      </c>
      <c r="C105">
        <v>6</v>
      </c>
      <c r="D105">
        <v>6</v>
      </c>
    </row>
    <row r="106" spans="1:4" x14ac:dyDescent="0.35">
      <c r="A106">
        <v>105</v>
      </c>
      <c r="B106">
        <v>16</v>
      </c>
      <c r="C106">
        <v>18</v>
      </c>
      <c r="D106">
        <v>18</v>
      </c>
    </row>
    <row r="107" spans="1:4" x14ac:dyDescent="0.35">
      <c r="A107">
        <v>106</v>
      </c>
      <c r="B107">
        <v>10</v>
      </c>
      <c r="C107">
        <v>11</v>
      </c>
      <c r="D107">
        <v>11</v>
      </c>
    </row>
    <row r="108" spans="1:4" x14ac:dyDescent="0.35">
      <c r="A108">
        <v>107</v>
      </c>
      <c r="B108">
        <v>7</v>
      </c>
      <c r="C108">
        <v>8</v>
      </c>
      <c r="D108">
        <v>8</v>
      </c>
    </row>
    <row r="109" spans="1:4" x14ac:dyDescent="0.35">
      <c r="A109">
        <v>108</v>
      </c>
      <c r="B109">
        <v>16</v>
      </c>
      <c r="C109">
        <v>18</v>
      </c>
      <c r="D109">
        <v>18</v>
      </c>
    </row>
    <row r="110" spans="1:4" x14ac:dyDescent="0.35">
      <c r="A110">
        <v>109</v>
      </c>
      <c r="B110">
        <v>10</v>
      </c>
      <c r="C110">
        <v>13</v>
      </c>
      <c r="D110">
        <v>13</v>
      </c>
    </row>
    <row r="111" spans="1:4" x14ac:dyDescent="0.35">
      <c r="A111">
        <v>110</v>
      </c>
      <c r="B111">
        <v>14</v>
      </c>
      <c r="C111">
        <v>15</v>
      </c>
      <c r="D111">
        <v>16</v>
      </c>
    </row>
    <row r="112" spans="1:4" x14ac:dyDescent="0.35">
      <c r="A112">
        <v>111</v>
      </c>
      <c r="B112">
        <v>18</v>
      </c>
      <c r="C112">
        <v>19</v>
      </c>
      <c r="D112">
        <v>19</v>
      </c>
    </row>
    <row r="113" spans="1:4" x14ac:dyDescent="0.35">
      <c r="A113">
        <v>112</v>
      </c>
      <c r="B113">
        <v>7</v>
      </c>
      <c r="C113">
        <v>10</v>
      </c>
      <c r="D113">
        <v>10</v>
      </c>
    </row>
    <row r="114" spans="1:4" x14ac:dyDescent="0.35">
      <c r="A114">
        <v>113</v>
      </c>
      <c r="B114">
        <v>13</v>
      </c>
      <c r="C114">
        <v>13</v>
      </c>
      <c r="D114">
        <v>13</v>
      </c>
    </row>
    <row r="115" spans="1:4" x14ac:dyDescent="0.35">
      <c r="A115">
        <v>114</v>
      </c>
      <c r="B115">
        <v>18</v>
      </c>
      <c r="C115">
        <v>19</v>
      </c>
      <c r="D115">
        <v>19</v>
      </c>
    </row>
    <row r="116" spans="1:4" x14ac:dyDescent="0.35">
      <c r="A116">
        <v>115</v>
      </c>
      <c r="B116">
        <v>9</v>
      </c>
      <c r="C116">
        <v>9</v>
      </c>
      <c r="D116">
        <v>9</v>
      </c>
    </row>
    <row r="117" spans="1:4" x14ac:dyDescent="0.35">
      <c r="A117">
        <v>116</v>
      </c>
      <c r="B117">
        <v>15</v>
      </c>
      <c r="C117">
        <v>15</v>
      </c>
      <c r="D117">
        <v>16</v>
      </c>
    </row>
    <row r="118" spans="1:4" x14ac:dyDescent="0.35">
      <c r="A118">
        <v>117</v>
      </c>
      <c r="B118">
        <v>11</v>
      </c>
      <c r="C118">
        <v>13</v>
      </c>
      <c r="D118">
        <v>14</v>
      </c>
    </row>
    <row r="119" spans="1:4" x14ac:dyDescent="0.35">
      <c r="A119">
        <v>118</v>
      </c>
      <c r="B119">
        <v>13</v>
      </c>
      <c r="C119">
        <v>14</v>
      </c>
      <c r="D119">
        <v>13</v>
      </c>
    </row>
    <row r="120" spans="1:4" x14ac:dyDescent="0.35">
      <c r="A120">
        <v>119</v>
      </c>
      <c r="B120">
        <v>9</v>
      </c>
      <c r="C120">
        <v>7</v>
      </c>
      <c r="D120">
        <v>8</v>
      </c>
    </row>
    <row r="121" spans="1:4" x14ac:dyDescent="0.35">
      <c r="A121">
        <v>120</v>
      </c>
      <c r="B121">
        <v>14</v>
      </c>
      <c r="C121">
        <v>13</v>
      </c>
      <c r="D121">
        <v>13</v>
      </c>
    </row>
    <row r="122" spans="1:4" x14ac:dyDescent="0.35">
      <c r="A122">
        <v>121</v>
      </c>
      <c r="B122">
        <v>16</v>
      </c>
      <c r="C122">
        <v>15</v>
      </c>
      <c r="D122">
        <v>15</v>
      </c>
    </row>
    <row r="123" spans="1:4" x14ac:dyDescent="0.35">
      <c r="A123">
        <v>122</v>
      </c>
      <c r="B123">
        <v>16</v>
      </c>
      <c r="C123">
        <v>14</v>
      </c>
      <c r="D123">
        <v>15</v>
      </c>
    </row>
    <row r="124" spans="1:4" x14ac:dyDescent="0.35">
      <c r="A124">
        <v>123</v>
      </c>
      <c r="B124">
        <v>13</v>
      </c>
      <c r="C124">
        <v>13</v>
      </c>
      <c r="D124">
        <v>13</v>
      </c>
    </row>
    <row r="125" spans="1:4" x14ac:dyDescent="0.35">
      <c r="A125">
        <v>124</v>
      </c>
      <c r="B125">
        <v>14</v>
      </c>
      <c r="C125">
        <v>11</v>
      </c>
      <c r="D125">
        <v>13</v>
      </c>
    </row>
    <row r="126" spans="1:4" x14ac:dyDescent="0.35">
      <c r="A126">
        <v>125</v>
      </c>
      <c r="B126">
        <v>8</v>
      </c>
      <c r="C126">
        <v>7</v>
      </c>
      <c r="D126">
        <v>8</v>
      </c>
    </row>
    <row r="127" spans="1:4" x14ac:dyDescent="0.35">
      <c r="A127">
        <v>126</v>
      </c>
      <c r="B127">
        <v>13</v>
      </c>
      <c r="C127">
        <v>13</v>
      </c>
      <c r="D127">
        <v>12</v>
      </c>
    </row>
    <row r="128" spans="1:4" x14ac:dyDescent="0.35">
      <c r="A128">
        <v>127</v>
      </c>
      <c r="B128">
        <v>7</v>
      </c>
      <c r="C128">
        <v>10</v>
      </c>
      <c r="D128">
        <v>11</v>
      </c>
    </row>
    <row r="129" spans="1:4" x14ac:dyDescent="0.35">
      <c r="A129">
        <v>128</v>
      </c>
      <c r="B129">
        <v>7</v>
      </c>
      <c r="C129">
        <v>8</v>
      </c>
      <c r="D129">
        <v>9</v>
      </c>
    </row>
    <row r="130" spans="1:4" x14ac:dyDescent="0.35">
      <c r="A130">
        <v>129</v>
      </c>
      <c r="B130">
        <v>7</v>
      </c>
      <c r="C130">
        <v>4</v>
      </c>
      <c r="D130">
        <v>0</v>
      </c>
    </row>
    <row r="131" spans="1:4" x14ac:dyDescent="0.35">
      <c r="A131">
        <v>130</v>
      </c>
      <c r="B131">
        <v>18</v>
      </c>
      <c r="C131">
        <v>18</v>
      </c>
      <c r="D131">
        <v>18</v>
      </c>
    </row>
    <row r="132" spans="1:4" x14ac:dyDescent="0.35">
      <c r="A132">
        <v>131</v>
      </c>
      <c r="B132">
        <v>12</v>
      </c>
      <c r="C132">
        <v>0</v>
      </c>
      <c r="D132">
        <v>0</v>
      </c>
    </row>
    <row r="133" spans="1:4" x14ac:dyDescent="0.35">
      <c r="A133">
        <v>132</v>
      </c>
      <c r="B133">
        <v>8</v>
      </c>
      <c r="C133">
        <v>0</v>
      </c>
      <c r="D133">
        <v>0</v>
      </c>
    </row>
    <row r="134" spans="1:4" x14ac:dyDescent="0.35">
      <c r="A134">
        <v>133</v>
      </c>
      <c r="B134">
        <v>10</v>
      </c>
      <c r="C134">
        <v>13</v>
      </c>
      <c r="D134">
        <v>12</v>
      </c>
    </row>
    <row r="135" spans="1:4" x14ac:dyDescent="0.35">
      <c r="A135">
        <v>134</v>
      </c>
      <c r="B135">
        <v>12</v>
      </c>
      <c r="C135">
        <v>11</v>
      </c>
      <c r="D135">
        <v>11</v>
      </c>
    </row>
    <row r="136" spans="1:4" x14ac:dyDescent="0.35">
      <c r="A136">
        <v>135</v>
      </c>
      <c r="B136">
        <v>9</v>
      </c>
      <c r="C136">
        <v>0</v>
      </c>
      <c r="D136">
        <v>0</v>
      </c>
    </row>
    <row r="137" spans="1:4" x14ac:dyDescent="0.35">
      <c r="A137">
        <v>136</v>
      </c>
      <c r="B137">
        <v>11</v>
      </c>
      <c r="C137">
        <v>0</v>
      </c>
      <c r="D137">
        <v>0</v>
      </c>
    </row>
    <row r="138" spans="1:4" x14ac:dyDescent="0.35">
      <c r="A138">
        <v>137</v>
      </c>
      <c r="B138">
        <v>10</v>
      </c>
      <c r="C138">
        <v>0</v>
      </c>
      <c r="D138">
        <v>0</v>
      </c>
    </row>
    <row r="139" spans="1:4" x14ac:dyDescent="0.35">
      <c r="A139">
        <v>138</v>
      </c>
      <c r="B139">
        <v>4</v>
      </c>
      <c r="C139">
        <v>0</v>
      </c>
      <c r="D139">
        <v>0</v>
      </c>
    </row>
    <row r="140" spans="1:4" x14ac:dyDescent="0.35">
      <c r="A140">
        <v>139</v>
      </c>
      <c r="B140">
        <v>14</v>
      </c>
      <c r="C140">
        <v>12</v>
      </c>
      <c r="D140">
        <v>12</v>
      </c>
    </row>
    <row r="141" spans="1:4" x14ac:dyDescent="0.35">
      <c r="A141">
        <v>140</v>
      </c>
      <c r="B141">
        <v>16</v>
      </c>
      <c r="C141">
        <v>16</v>
      </c>
      <c r="D141">
        <v>15</v>
      </c>
    </row>
    <row r="142" spans="1:4" x14ac:dyDescent="0.35">
      <c r="A142">
        <v>141</v>
      </c>
      <c r="B142">
        <v>7</v>
      </c>
      <c r="C142">
        <v>9</v>
      </c>
      <c r="D142">
        <v>0</v>
      </c>
    </row>
    <row r="143" spans="1:4" x14ac:dyDescent="0.35">
      <c r="A143">
        <v>142</v>
      </c>
      <c r="B143">
        <v>9</v>
      </c>
      <c r="C143">
        <v>9</v>
      </c>
      <c r="D143">
        <v>9</v>
      </c>
    </row>
    <row r="144" spans="1:4" x14ac:dyDescent="0.35">
      <c r="A144">
        <v>143</v>
      </c>
      <c r="B144">
        <v>9</v>
      </c>
      <c r="C144">
        <v>11</v>
      </c>
      <c r="D144">
        <v>11</v>
      </c>
    </row>
    <row r="145" spans="1:4" x14ac:dyDescent="0.35">
      <c r="A145">
        <v>144</v>
      </c>
      <c r="B145">
        <v>14</v>
      </c>
      <c r="C145">
        <v>14</v>
      </c>
      <c r="D145">
        <v>13</v>
      </c>
    </row>
    <row r="146" spans="1:4" x14ac:dyDescent="0.35">
      <c r="A146">
        <v>145</v>
      </c>
      <c r="B146">
        <v>5</v>
      </c>
      <c r="C146">
        <v>0</v>
      </c>
      <c r="D146">
        <v>0</v>
      </c>
    </row>
    <row r="147" spans="1:4" x14ac:dyDescent="0.35">
      <c r="A147">
        <v>146</v>
      </c>
      <c r="B147">
        <v>8</v>
      </c>
      <c r="C147">
        <v>11</v>
      </c>
      <c r="D147">
        <v>11</v>
      </c>
    </row>
    <row r="148" spans="1:4" x14ac:dyDescent="0.35">
      <c r="A148">
        <v>147</v>
      </c>
      <c r="B148">
        <v>6</v>
      </c>
      <c r="C148">
        <v>7</v>
      </c>
      <c r="D148">
        <v>0</v>
      </c>
    </row>
    <row r="149" spans="1:4" x14ac:dyDescent="0.35">
      <c r="A149">
        <v>148</v>
      </c>
      <c r="B149">
        <v>10</v>
      </c>
      <c r="C149">
        <v>11</v>
      </c>
      <c r="D149">
        <v>11</v>
      </c>
    </row>
    <row r="150" spans="1:4" x14ac:dyDescent="0.35">
      <c r="A150">
        <v>149</v>
      </c>
      <c r="B150">
        <v>7</v>
      </c>
      <c r="C150">
        <v>6</v>
      </c>
      <c r="D150">
        <v>0</v>
      </c>
    </row>
    <row r="151" spans="1:4" x14ac:dyDescent="0.35">
      <c r="A151">
        <v>150</v>
      </c>
      <c r="B151">
        <v>8</v>
      </c>
      <c r="C151">
        <v>9</v>
      </c>
      <c r="D151">
        <v>10</v>
      </c>
    </row>
    <row r="152" spans="1:4" x14ac:dyDescent="0.35">
      <c r="A152">
        <v>151</v>
      </c>
      <c r="B152">
        <v>6</v>
      </c>
      <c r="C152">
        <v>5</v>
      </c>
      <c r="D152">
        <v>0</v>
      </c>
    </row>
    <row r="153" spans="1:4" x14ac:dyDescent="0.35">
      <c r="A153">
        <v>152</v>
      </c>
      <c r="B153">
        <v>12</v>
      </c>
      <c r="C153">
        <v>13</v>
      </c>
      <c r="D153">
        <v>14</v>
      </c>
    </row>
    <row r="154" spans="1:4" x14ac:dyDescent="0.35">
      <c r="A154">
        <v>153</v>
      </c>
      <c r="B154">
        <v>10</v>
      </c>
      <c r="C154">
        <v>10</v>
      </c>
      <c r="D154">
        <v>10</v>
      </c>
    </row>
    <row r="155" spans="1:4" x14ac:dyDescent="0.35">
      <c r="A155">
        <v>154</v>
      </c>
      <c r="B155">
        <v>5</v>
      </c>
      <c r="C155">
        <v>0</v>
      </c>
      <c r="D155">
        <v>0</v>
      </c>
    </row>
    <row r="156" spans="1:4" x14ac:dyDescent="0.35">
      <c r="A156">
        <v>155</v>
      </c>
      <c r="B156">
        <v>11</v>
      </c>
      <c r="C156">
        <v>11</v>
      </c>
      <c r="D156">
        <v>12</v>
      </c>
    </row>
    <row r="157" spans="1:4" x14ac:dyDescent="0.35">
      <c r="A157">
        <v>156</v>
      </c>
      <c r="B157">
        <v>11</v>
      </c>
      <c r="C157">
        <v>8</v>
      </c>
      <c r="D157">
        <v>8</v>
      </c>
    </row>
    <row r="158" spans="1:4" x14ac:dyDescent="0.35">
      <c r="A158">
        <v>157</v>
      </c>
      <c r="B158">
        <v>16</v>
      </c>
      <c r="C158">
        <v>12</v>
      </c>
      <c r="D158">
        <v>13</v>
      </c>
    </row>
    <row r="159" spans="1:4" x14ac:dyDescent="0.35">
      <c r="A159">
        <v>158</v>
      </c>
      <c r="B159">
        <v>9</v>
      </c>
      <c r="C159">
        <v>8</v>
      </c>
      <c r="D159">
        <v>10</v>
      </c>
    </row>
    <row r="160" spans="1:4" x14ac:dyDescent="0.35">
      <c r="A160">
        <v>159</v>
      </c>
      <c r="B160">
        <v>17</v>
      </c>
      <c r="C160">
        <v>15</v>
      </c>
      <c r="D160">
        <v>15</v>
      </c>
    </row>
    <row r="161" spans="1:4" x14ac:dyDescent="0.35">
      <c r="A161">
        <v>160</v>
      </c>
      <c r="B161">
        <v>10</v>
      </c>
      <c r="C161">
        <v>12</v>
      </c>
      <c r="D161">
        <v>12</v>
      </c>
    </row>
    <row r="162" spans="1:4" x14ac:dyDescent="0.35">
      <c r="A162">
        <v>161</v>
      </c>
      <c r="B162">
        <v>7</v>
      </c>
      <c r="C162">
        <v>6</v>
      </c>
      <c r="D162">
        <v>0</v>
      </c>
    </row>
    <row r="163" spans="1:4" x14ac:dyDescent="0.35">
      <c r="A163">
        <v>162</v>
      </c>
      <c r="B163">
        <v>5</v>
      </c>
      <c r="C163">
        <v>9</v>
      </c>
      <c r="D163">
        <v>7</v>
      </c>
    </row>
    <row r="164" spans="1:4" x14ac:dyDescent="0.35">
      <c r="A164">
        <v>163</v>
      </c>
      <c r="B164">
        <v>7</v>
      </c>
      <c r="C164">
        <v>0</v>
      </c>
      <c r="D164">
        <v>0</v>
      </c>
    </row>
    <row r="165" spans="1:4" x14ac:dyDescent="0.35">
      <c r="A165">
        <v>164</v>
      </c>
      <c r="B165">
        <v>10</v>
      </c>
      <c r="C165">
        <v>10</v>
      </c>
      <c r="D165">
        <v>10</v>
      </c>
    </row>
    <row r="166" spans="1:4" x14ac:dyDescent="0.35">
      <c r="A166">
        <v>165</v>
      </c>
      <c r="B166">
        <v>5</v>
      </c>
      <c r="C166">
        <v>8</v>
      </c>
      <c r="D166">
        <v>7</v>
      </c>
    </row>
    <row r="167" spans="1:4" x14ac:dyDescent="0.35">
      <c r="A167">
        <v>166</v>
      </c>
      <c r="B167">
        <v>12</v>
      </c>
      <c r="C167">
        <v>11</v>
      </c>
      <c r="D167">
        <v>12</v>
      </c>
    </row>
    <row r="168" spans="1:4" x14ac:dyDescent="0.35">
      <c r="A168">
        <v>167</v>
      </c>
      <c r="B168">
        <v>10</v>
      </c>
      <c r="C168">
        <v>10</v>
      </c>
      <c r="D168">
        <v>10</v>
      </c>
    </row>
    <row r="169" spans="1:4" x14ac:dyDescent="0.35">
      <c r="A169">
        <v>168</v>
      </c>
      <c r="B169">
        <v>14</v>
      </c>
      <c r="C169">
        <v>15</v>
      </c>
      <c r="D169">
        <v>16</v>
      </c>
    </row>
    <row r="170" spans="1:4" x14ac:dyDescent="0.35">
      <c r="A170">
        <v>169</v>
      </c>
      <c r="B170">
        <v>6</v>
      </c>
      <c r="C170">
        <v>7</v>
      </c>
      <c r="D170">
        <v>0</v>
      </c>
    </row>
    <row r="171" spans="1:4" x14ac:dyDescent="0.35">
      <c r="A171">
        <v>170</v>
      </c>
      <c r="B171">
        <v>14</v>
      </c>
      <c r="C171">
        <v>14</v>
      </c>
      <c r="D171">
        <v>14</v>
      </c>
    </row>
    <row r="172" spans="1:4" x14ac:dyDescent="0.35">
      <c r="A172">
        <v>171</v>
      </c>
      <c r="B172">
        <v>6</v>
      </c>
      <c r="C172">
        <v>5</v>
      </c>
      <c r="D172">
        <v>0</v>
      </c>
    </row>
    <row r="173" spans="1:4" x14ac:dyDescent="0.35">
      <c r="A173">
        <v>172</v>
      </c>
      <c r="B173">
        <v>13</v>
      </c>
      <c r="C173">
        <v>15</v>
      </c>
      <c r="D173">
        <v>16</v>
      </c>
    </row>
    <row r="174" spans="1:4" x14ac:dyDescent="0.35">
      <c r="A174">
        <v>173</v>
      </c>
      <c r="B174">
        <v>13</v>
      </c>
      <c r="C174">
        <v>11</v>
      </c>
      <c r="D174">
        <v>10</v>
      </c>
    </row>
    <row r="175" spans="1:4" x14ac:dyDescent="0.35">
      <c r="A175">
        <v>174</v>
      </c>
      <c r="B175">
        <v>8</v>
      </c>
      <c r="C175">
        <v>7</v>
      </c>
      <c r="D175">
        <v>0</v>
      </c>
    </row>
    <row r="176" spans="1:4" x14ac:dyDescent="0.35">
      <c r="A176">
        <v>175</v>
      </c>
      <c r="B176">
        <v>10</v>
      </c>
      <c r="C176">
        <v>11</v>
      </c>
      <c r="D176">
        <v>9</v>
      </c>
    </row>
    <row r="177" spans="1:4" x14ac:dyDescent="0.35">
      <c r="A177">
        <v>176</v>
      </c>
      <c r="B177">
        <v>10</v>
      </c>
      <c r="C177">
        <v>9</v>
      </c>
      <c r="D177">
        <v>9</v>
      </c>
    </row>
    <row r="178" spans="1:4" x14ac:dyDescent="0.35">
      <c r="A178">
        <v>177</v>
      </c>
      <c r="B178">
        <v>13</v>
      </c>
      <c r="C178">
        <v>13</v>
      </c>
      <c r="D178">
        <v>11</v>
      </c>
    </row>
    <row r="179" spans="1:4" x14ac:dyDescent="0.35">
      <c r="A179">
        <v>178</v>
      </c>
      <c r="B179">
        <v>6</v>
      </c>
      <c r="C179">
        <v>5</v>
      </c>
      <c r="D179">
        <v>6</v>
      </c>
    </row>
    <row r="180" spans="1:4" x14ac:dyDescent="0.35">
      <c r="A180">
        <v>179</v>
      </c>
      <c r="B180">
        <v>10</v>
      </c>
      <c r="C180">
        <v>8</v>
      </c>
      <c r="D180">
        <v>9</v>
      </c>
    </row>
    <row r="181" spans="1:4" x14ac:dyDescent="0.35">
      <c r="A181">
        <v>180</v>
      </c>
      <c r="B181">
        <v>10</v>
      </c>
      <c r="C181">
        <v>10</v>
      </c>
      <c r="D181">
        <v>11</v>
      </c>
    </row>
    <row r="182" spans="1:4" x14ac:dyDescent="0.35">
      <c r="A182">
        <v>181</v>
      </c>
      <c r="B182">
        <v>9</v>
      </c>
      <c r="C182">
        <v>8</v>
      </c>
      <c r="D182">
        <v>8</v>
      </c>
    </row>
    <row r="183" spans="1:4" x14ac:dyDescent="0.35">
      <c r="A183">
        <v>182</v>
      </c>
      <c r="B183">
        <v>12</v>
      </c>
      <c r="C183">
        <v>13</v>
      </c>
      <c r="D183">
        <v>12</v>
      </c>
    </row>
    <row r="184" spans="1:4" x14ac:dyDescent="0.35">
      <c r="A184">
        <v>183</v>
      </c>
      <c r="B184">
        <v>16</v>
      </c>
      <c r="C184">
        <v>17</v>
      </c>
      <c r="D184">
        <v>17</v>
      </c>
    </row>
    <row r="185" spans="1:4" x14ac:dyDescent="0.35">
      <c r="A185">
        <v>184</v>
      </c>
      <c r="B185">
        <v>9</v>
      </c>
      <c r="C185">
        <v>9</v>
      </c>
      <c r="D185">
        <v>8</v>
      </c>
    </row>
    <row r="186" spans="1:4" x14ac:dyDescent="0.35">
      <c r="A186">
        <v>185</v>
      </c>
      <c r="B186">
        <v>12</v>
      </c>
      <c r="C186">
        <v>13</v>
      </c>
      <c r="D186">
        <v>12</v>
      </c>
    </row>
    <row r="187" spans="1:4" x14ac:dyDescent="0.35">
      <c r="A187">
        <v>186</v>
      </c>
      <c r="B187">
        <v>11.5</v>
      </c>
      <c r="C187">
        <v>12</v>
      </c>
      <c r="D187">
        <v>11</v>
      </c>
    </row>
    <row r="188" spans="1:4" x14ac:dyDescent="0.35">
      <c r="A188">
        <v>187</v>
      </c>
      <c r="B188">
        <v>11</v>
      </c>
      <c r="C188">
        <v>12</v>
      </c>
      <c r="D188">
        <v>11</v>
      </c>
    </row>
    <row r="189" spans="1:4" x14ac:dyDescent="0.35">
      <c r="A189">
        <v>188</v>
      </c>
      <c r="B189">
        <v>15</v>
      </c>
      <c r="C189">
        <v>15</v>
      </c>
      <c r="D189">
        <v>15</v>
      </c>
    </row>
    <row r="190" spans="1:4" x14ac:dyDescent="0.35">
      <c r="A190">
        <v>189</v>
      </c>
      <c r="B190">
        <v>8</v>
      </c>
      <c r="C190">
        <v>7</v>
      </c>
      <c r="D190">
        <v>9</v>
      </c>
    </row>
    <row r="191" spans="1:4" x14ac:dyDescent="0.35">
      <c r="A191">
        <v>190</v>
      </c>
      <c r="B191">
        <v>8</v>
      </c>
      <c r="C191">
        <v>9</v>
      </c>
      <c r="D191">
        <v>10</v>
      </c>
    </row>
    <row r="192" spans="1:4" x14ac:dyDescent="0.35">
      <c r="A192">
        <v>191</v>
      </c>
      <c r="B192">
        <v>11</v>
      </c>
      <c r="C192">
        <v>12</v>
      </c>
      <c r="D192">
        <v>13</v>
      </c>
    </row>
    <row r="193" spans="1:4" x14ac:dyDescent="0.35">
      <c r="A193">
        <v>192</v>
      </c>
      <c r="B193">
        <v>8</v>
      </c>
      <c r="C193">
        <v>8</v>
      </c>
      <c r="D193">
        <v>9</v>
      </c>
    </row>
    <row r="194" spans="1:4" x14ac:dyDescent="0.35">
      <c r="A194">
        <v>193</v>
      </c>
      <c r="B194">
        <v>7</v>
      </c>
      <c r="C194">
        <v>8</v>
      </c>
      <c r="D194">
        <v>8</v>
      </c>
    </row>
    <row r="195" spans="1:4" x14ac:dyDescent="0.35">
      <c r="A195">
        <v>194</v>
      </c>
      <c r="B195">
        <v>8</v>
      </c>
      <c r="C195">
        <v>9</v>
      </c>
      <c r="D195">
        <v>10</v>
      </c>
    </row>
    <row r="196" spans="1:4" x14ac:dyDescent="0.35">
      <c r="A196">
        <v>195</v>
      </c>
      <c r="B196">
        <v>13</v>
      </c>
      <c r="C196">
        <v>14</v>
      </c>
      <c r="D196">
        <v>13.5</v>
      </c>
    </row>
    <row r="197" spans="1:4" x14ac:dyDescent="0.35">
      <c r="A197">
        <v>196</v>
      </c>
      <c r="B197">
        <v>14</v>
      </c>
      <c r="C197">
        <v>15</v>
      </c>
      <c r="D197">
        <v>0</v>
      </c>
    </row>
    <row r="198" spans="1:4" x14ac:dyDescent="0.35">
      <c r="A198">
        <v>197</v>
      </c>
      <c r="B198">
        <v>17</v>
      </c>
      <c r="C198">
        <v>15</v>
      </c>
      <c r="D198">
        <v>16</v>
      </c>
    </row>
    <row r="199" spans="1:4" x14ac:dyDescent="0.35">
      <c r="A199">
        <v>198</v>
      </c>
      <c r="B199">
        <v>9</v>
      </c>
      <c r="C199">
        <v>9</v>
      </c>
      <c r="D199">
        <v>0</v>
      </c>
    </row>
    <row r="200" spans="1:4" x14ac:dyDescent="0.35">
      <c r="A200">
        <v>199</v>
      </c>
      <c r="B200">
        <v>18</v>
      </c>
      <c r="C200">
        <v>18</v>
      </c>
      <c r="D200">
        <v>18</v>
      </c>
    </row>
    <row r="201" spans="1:4" x14ac:dyDescent="0.35">
      <c r="A201">
        <v>200</v>
      </c>
      <c r="B201">
        <v>9</v>
      </c>
      <c r="C201">
        <v>9</v>
      </c>
      <c r="D201">
        <v>10</v>
      </c>
    </row>
    <row r="202" spans="1:4" x14ac:dyDescent="0.35">
      <c r="A202">
        <v>201</v>
      </c>
      <c r="B202">
        <v>16</v>
      </c>
      <c r="C202">
        <v>16</v>
      </c>
      <c r="D202">
        <v>16</v>
      </c>
    </row>
    <row r="203" spans="1:4" x14ac:dyDescent="0.35">
      <c r="A203">
        <v>202</v>
      </c>
      <c r="B203">
        <v>8</v>
      </c>
      <c r="C203">
        <v>10</v>
      </c>
      <c r="D203">
        <v>10</v>
      </c>
    </row>
    <row r="204" spans="1:4" x14ac:dyDescent="0.35">
      <c r="A204">
        <v>203</v>
      </c>
      <c r="B204">
        <v>9</v>
      </c>
      <c r="C204">
        <v>9</v>
      </c>
      <c r="D204">
        <v>10</v>
      </c>
    </row>
    <row r="205" spans="1:4" x14ac:dyDescent="0.35">
      <c r="A205">
        <v>204</v>
      </c>
      <c r="B205">
        <v>7</v>
      </c>
      <c r="C205">
        <v>6</v>
      </c>
      <c r="D205">
        <v>6</v>
      </c>
    </row>
    <row r="206" spans="1:4" x14ac:dyDescent="0.35">
      <c r="A206">
        <v>205</v>
      </c>
      <c r="B206">
        <v>10.5</v>
      </c>
      <c r="C206">
        <v>10</v>
      </c>
      <c r="D206">
        <v>11</v>
      </c>
    </row>
    <row r="207" spans="1:4" x14ac:dyDescent="0.35">
      <c r="A207">
        <v>206</v>
      </c>
      <c r="B207">
        <v>10</v>
      </c>
      <c r="C207">
        <v>9</v>
      </c>
      <c r="D207">
        <v>9</v>
      </c>
    </row>
    <row r="208" spans="1:4" x14ac:dyDescent="0.35">
      <c r="A208">
        <v>207</v>
      </c>
      <c r="B208">
        <v>7</v>
      </c>
      <c r="C208">
        <v>7</v>
      </c>
      <c r="D208">
        <v>7</v>
      </c>
    </row>
    <row r="209" spans="1:4" x14ac:dyDescent="0.35">
      <c r="A209">
        <v>208</v>
      </c>
      <c r="B209">
        <v>11</v>
      </c>
      <c r="C209">
        <v>12</v>
      </c>
      <c r="D209">
        <v>13</v>
      </c>
    </row>
    <row r="210" spans="1:4" x14ac:dyDescent="0.35">
      <c r="A210">
        <v>209</v>
      </c>
      <c r="B210">
        <v>9</v>
      </c>
      <c r="C210">
        <v>9</v>
      </c>
      <c r="D210">
        <v>10</v>
      </c>
    </row>
    <row r="211" spans="1:4" x14ac:dyDescent="0.35">
      <c r="A211">
        <v>210</v>
      </c>
      <c r="B211">
        <v>7</v>
      </c>
      <c r="C211">
        <v>7</v>
      </c>
      <c r="D211">
        <v>7</v>
      </c>
    </row>
    <row r="212" spans="1:4" x14ac:dyDescent="0.35">
      <c r="A212">
        <v>211</v>
      </c>
      <c r="B212">
        <v>8</v>
      </c>
      <c r="C212">
        <v>8</v>
      </c>
      <c r="D212">
        <v>8</v>
      </c>
    </row>
    <row r="213" spans="1:4" x14ac:dyDescent="0.35">
      <c r="A213">
        <v>212</v>
      </c>
      <c r="B213">
        <v>12</v>
      </c>
      <c r="C213">
        <v>12</v>
      </c>
      <c r="D213">
        <v>13</v>
      </c>
    </row>
    <row r="214" spans="1:4" x14ac:dyDescent="0.35">
      <c r="A214">
        <v>213</v>
      </c>
      <c r="B214">
        <v>12</v>
      </c>
      <c r="C214">
        <v>13</v>
      </c>
      <c r="D214">
        <v>14</v>
      </c>
    </row>
    <row r="215" spans="1:4" x14ac:dyDescent="0.35">
      <c r="A215">
        <v>214</v>
      </c>
      <c r="B215">
        <v>6</v>
      </c>
      <c r="C215">
        <v>7</v>
      </c>
      <c r="D215">
        <v>8</v>
      </c>
    </row>
    <row r="216" spans="1:4" x14ac:dyDescent="0.35">
      <c r="A216">
        <v>215</v>
      </c>
      <c r="B216">
        <v>8</v>
      </c>
      <c r="C216">
        <v>10</v>
      </c>
      <c r="D216">
        <v>10</v>
      </c>
    </row>
    <row r="217" spans="1:4" x14ac:dyDescent="0.35">
      <c r="A217">
        <v>216</v>
      </c>
      <c r="B217">
        <v>14</v>
      </c>
      <c r="C217">
        <v>15</v>
      </c>
      <c r="D217">
        <v>15</v>
      </c>
    </row>
    <row r="218" spans="1:4" x14ac:dyDescent="0.35">
      <c r="A218">
        <v>217</v>
      </c>
      <c r="B218">
        <v>6</v>
      </c>
      <c r="C218">
        <v>6</v>
      </c>
      <c r="D218">
        <v>0</v>
      </c>
    </row>
    <row r="219" spans="1:4" x14ac:dyDescent="0.35">
      <c r="A219">
        <v>218</v>
      </c>
      <c r="B219">
        <v>6</v>
      </c>
      <c r="C219">
        <v>6</v>
      </c>
      <c r="D219">
        <v>8</v>
      </c>
    </row>
    <row r="220" spans="1:4" x14ac:dyDescent="0.35">
      <c r="A220">
        <v>219</v>
      </c>
      <c r="B220">
        <v>7</v>
      </c>
      <c r="C220">
        <v>7</v>
      </c>
      <c r="D220">
        <v>8</v>
      </c>
    </row>
    <row r="221" spans="1:4" x14ac:dyDescent="0.35">
      <c r="A221">
        <v>220</v>
      </c>
      <c r="B221">
        <v>10</v>
      </c>
      <c r="C221">
        <v>10</v>
      </c>
      <c r="D221">
        <v>10</v>
      </c>
    </row>
    <row r="222" spans="1:4" x14ac:dyDescent="0.35">
      <c r="A222">
        <v>221</v>
      </c>
      <c r="B222">
        <v>6</v>
      </c>
      <c r="C222">
        <v>6</v>
      </c>
      <c r="D222">
        <v>6</v>
      </c>
    </row>
    <row r="223" spans="1:4" x14ac:dyDescent="0.35">
      <c r="A223">
        <v>222</v>
      </c>
      <c r="B223">
        <v>6</v>
      </c>
      <c r="C223">
        <v>5</v>
      </c>
      <c r="D223">
        <v>0</v>
      </c>
    </row>
    <row r="224" spans="1:4" x14ac:dyDescent="0.35">
      <c r="A224">
        <v>223</v>
      </c>
      <c r="B224">
        <v>16</v>
      </c>
      <c r="C224">
        <v>16</v>
      </c>
      <c r="D224">
        <v>17</v>
      </c>
    </row>
    <row r="225" spans="1:4" x14ac:dyDescent="0.35">
      <c r="A225">
        <v>224</v>
      </c>
      <c r="B225">
        <v>12</v>
      </c>
      <c r="C225">
        <v>13</v>
      </c>
      <c r="D225">
        <v>13</v>
      </c>
    </row>
    <row r="226" spans="1:4" x14ac:dyDescent="0.35">
      <c r="A226">
        <v>225</v>
      </c>
      <c r="B226">
        <v>13</v>
      </c>
      <c r="C226">
        <v>13</v>
      </c>
      <c r="D226">
        <v>14</v>
      </c>
    </row>
    <row r="227" spans="1:4" x14ac:dyDescent="0.35">
      <c r="A227">
        <v>226</v>
      </c>
      <c r="B227">
        <v>9</v>
      </c>
      <c r="C227">
        <v>8</v>
      </c>
      <c r="D227">
        <v>7</v>
      </c>
    </row>
    <row r="228" spans="1:4" x14ac:dyDescent="0.35">
      <c r="A228">
        <v>227</v>
      </c>
      <c r="B228">
        <v>16</v>
      </c>
      <c r="C228">
        <v>15</v>
      </c>
      <c r="D228">
        <v>15</v>
      </c>
    </row>
    <row r="229" spans="1:4" x14ac:dyDescent="0.35">
      <c r="A229">
        <v>228</v>
      </c>
      <c r="B229">
        <v>12</v>
      </c>
      <c r="C229">
        <v>11</v>
      </c>
      <c r="D229">
        <v>12</v>
      </c>
    </row>
    <row r="230" spans="1:4" x14ac:dyDescent="0.35">
      <c r="A230">
        <v>229</v>
      </c>
      <c r="B230">
        <v>10</v>
      </c>
      <c r="C230">
        <v>8</v>
      </c>
      <c r="D230">
        <v>9</v>
      </c>
    </row>
    <row r="231" spans="1:4" x14ac:dyDescent="0.35">
      <c r="A231">
        <v>230</v>
      </c>
      <c r="B231">
        <v>12</v>
      </c>
      <c r="C231">
        <v>10</v>
      </c>
      <c r="D231">
        <v>12</v>
      </c>
    </row>
    <row r="232" spans="1:4" x14ac:dyDescent="0.35">
      <c r="A232">
        <v>231</v>
      </c>
      <c r="B232">
        <v>13</v>
      </c>
      <c r="C232">
        <v>13</v>
      </c>
      <c r="D232">
        <v>14</v>
      </c>
    </row>
    <row r="233" spans="1:4" x14ac:dyDescent="0.35">
      <c r="A233">
        <v>232</v>
      </c>
      <c r="B233">
        <v>11</v>
      </c>
      <c r="C233">
        <v>11</v>
      </c>
      <c r="D233">
        <v>11</v>
      </c>
    </row>
    <row r="234" spans="1:4" x14ac:dyDescent="0.35">
      <c r="A234">
        <v>233</v>
      </c>
      <c r="B234">
        <v>11</v>
      </c>
      <c r="C234">
        <v>9</v>
      </c>
      <c r="D234">
        <v>9</v>
      </c>
    </row>
    <row r="235" spans="1:4" x14ac:dyDescent="0.35">
      <c r="A235">
        <v>234</v>
      </c>
      <c r="B235">
        <v>14</v>
      </c>
      <c r="C235">
        <v>13</v>
      </c>
      <c r="D235">
        <v>13</v>
      </c>
    </row>
    <row r="236" spans="1:4" x14ac:dyDescent="0.35">
      <c r="A236">
        <v>235</v>
      </c>
      <c r="B236">
        <v>9</v>
      </c>
      <c r="C236">
        <v>7</v>
      </c>
      <c r="D236">
        <v>6</v>
      </c>
    </row>
    <row r="237" spans="1:4" x14ac:dyDescent="0.35">
      <c r="A237">
        <v>236</v>
      </c>
      <c r="B237">
        <v>11</v>
      </c>
      <c r="C237">
        <v>9</v>
      </c>
      <c r="D237">
        <v>10</v>
      </c>
    </row>
    <row r="238" spans="1:4" x14ac:dyDescent="0.35">
      <c r="A238">
        <v>237</v>
      </c>
      <c r="B238">
        <v>14</v>
      </c>
      <c r="C238">
        <v>13</v>
      </c>
      <c r="D238">
        <v>13</v>
      </c>
    </row>
    <row r="239" spans="1:4" x14ac:dyDescent="0.35">
      <c r="A239">
        <v>238</v>
      </c>
      <c r="B239">
        <v>13</v>
      </c>
      <c r="C239">
        <v>12</v>
      </c>
      <c r="D239">
        <v>12</v>
      </c>
    </row>
    <row r="240" spans="1:4" x14ac:dyDescent="0.35">
      <c r="A240">
        <v>239</v>
      </c>
      <c r="B240">
        <v>13</v>
      </c>
      <c r="C240">
        <v>11</v>
      </c>
      <c r="D240">
        <v>11</v>
      </c>
    </row>
    <row r="241" spans="1:4" x14ac:dyDescent="0.35">
      <c r="A241">
        <v>240</v>
      </c>
      <c r="B241">
        <v>7</v>
      </c>
      <c r="C241">
        <v>7</v>
      </c>
      <c r="D241">
        <v>0</v>
      </c>
    </row>
    <row r="242" spans="1:4" x14ac:dyDescent="0.35">
      <c r="A242">
        <v>241</v>
      </c>
      <c r="B242">
        <v>12</v>
      </c>
      <c r="C242">
        <v>12</v>
      </c>
      <c r="D242">
        <v>12</v>
      </c>
    </row>
    <row r="243" spans="1:4" x14ac:dyDescent="0.35">
      <c r="A243">
        <v>242</v>
      </c>
      <c r="B243">
        <v>10</v>
      </c>
      <c r="C243">
        <v>11</v>
      </c>
      <c r="D243">
        <v>12</v>
      </c>
    </row>
    <row r="244" spans="1:4" x14ac:dyDescent="0.35">
      <c r="A244">
        <v>243</v>
      </c>
      <c r="B244">
        <v>6</v>
      </c>
      <c r="C244">
        <v>0</v>
      </c>
      <c r="D244">
        <v>0</v>
      </c>
    </row>
    <row r="245" spans="1:4" x14ac:dyDescent="0.35">
      <c r="A245">
        <v>244</v>
      </c>
      <c r="B245">
        <v>13</v>
      </c>
      <c r="C245">
        <v>12</v>
      </c>
      <c r="D245">
        <v>12</v>
      </c>
    </row>
    <row r="246" spans="1:4" x14ac:dyDescent="0.35">
      <c r="A246">
        <v>245</v>
      </c>
      <c r="B246">
        <v>7</v>
      </c>
      <c r="C246">
        <v>0</v>
      </c>
      <c r="D246">
        <v>0</v>
      </c>
    </row>
    <row r="247" spans="1:4" x14ac:dyDescent="0.35">
      <c r="A247">
        <v>246</v>
      </c>
      <c r="B247">
        <v>18</v>
      </c>
      <c r="C247">
        <v>18</v>
      </c>
      <c r="D247">
        <v>18</v>
      </c>
    </row>
    <row r="248" spans="1:4" x14ac:dyDescent="0.35">
      <c r="A248">
        <v>247</v>
      </c>
      <c r="B248">
        <v>12</v>
      </c>
      <c r="C248">
        <v>12</v>
      </c>
      <c r="D248">
        <v>13</v>
      </c>
    </row>
    <row r="249" spans="1:4" x14ac:dyDescent="0.35">
      <c r="A249">
        <v>248</v>
      </c>
      <c r="B249">
        <v>6</v>
      </c>
      <c r="C249">
        <v>8</v>
      </c>
      <c r="D249">
        <v>8</v>
      </c>
    </row>
    <row r="250" spans="1:4" x14ac:dyDescent="0.35">
      <c r="A250">
        <v>249</v>
      </c>
      <c r="B250">
        <v>3</v>
      </c>
      <c r="C250">
        <v>5</v>
      </c>
      <c r="D250">
        <v>5</v>
      </c>
    </row>
    <row r="251" spans="1:4" x14ac:dyDescent="0.35">
      <c r="A251">
        <v>250</v>
      </c>
      <c r="B251">
        <v>13</v>
      </c>
      <c r="C251">
        <v>15</v>
      </c>
      <c r="D251">
        <v>15</v>
      </c>
    </row>
    <row r="252" spans="1:4" x14ac:dyDescent="0.35">
      <c r="A252">
        <v>251</v>
      </c>
      <c r="B252">
        <v>6</v>
      </c>
      <c r="C252">
        <v>8</v>
      </c>
      <c r="D252">
        <v>8</v>
      </c>
    </row>
    <row r="253" spans="1:4" x14ac:dyDescent="0.35">
      <c r="A253">
        <v>252</v>
      </c>
      <c r="B253">
        <v>7</v>
      </c>
      <c r="C253">
        <v>10</v>
      </c>
      <c r="D253">
        <v>10</v>
      </c>
    </row>
    <row r="254" spans="1:4" x14ac:dyDescent="0.35">
      <c r="A254">
        <v>253</v>
      </c>
      <c r="B254">
        <v>6</v>
      </c>
      <c r="C254">
        <v>7</v>
      </c>
      <c r="D254">
        <v>8</v>
      </c>
    </row>
    <row r="255" spans="1:4" x14ac:dyDescent="0.35">
      <c r="A255">
        <v>254</v>
      </c>
      <c r="B255">
        <v>8</v>
      </c>
      <c r="C255">
        <v>9</v>
      </c>
      <c r="D255">
        <v>8</v>
      </c>
    </row>
    <row r="256" spans="1:4" x14ac:dyDescent="0.35">
      <c r="A256">
        <v>255</v>
      </c>
      <c r="B256">
        <v>8</v>
      </c>
      <c r="C256">
        <v>12</v>
      </c>
      <c r="D256">
        <v>12</v>
      </c>
    </row>
    <row r="257" spans="1:4" x14ac:dyDescent="0.35">
      <c r="A257">
        <v>256</v>
      </c>
      <c r="B257">
        <v>7</v>
      </c>
      <c r="C257">
        <v>9</v>
      </c>
      <c r="D257">
        <v>8</v>
      </c>
    </row>
    <row r="258" spans="1:4" x14ac:dyDescent="0.35">
      <c r="A258">
        <v>257</v>
      </c>
      <c r="B258">
        <v>14</v>
      </c>
      <c r="C258">
        <v>12</v>
      </c>
      <c r="D258">
        <v>13</v>
      </c>
    </row>
    <row r="259" spans="1:4" x14ac:dyDescent="0.35">
      <c r="A259">
        <v>258</v>
      </c>
      <c r="B259">
        <v>11</v>
      </c>
      <c r="C259">
        <v>11</v>
      </c>
      <c r="D259">
        <v>11</v>
      </c>
    </row>
    <row r="260" spans="1:4" x14ac:dyDescent="0.35">
      <c r="A260">
        <v>259</v>
      </c>
      <c r="B260">
        <v>15</v>
      </c>
      <c r="C260">
        <v>14</v>
      </c>
      <c r="D260">
        <v>14</v>
      </c>
    </row>
    <row r="261" spans="1:4" x14ac:dyDescent="0.35">
      <c r="A261">
        <v>260</v>
      </c>
      <c r="B261">
        <v>10</v>
      </c>
      <c r="C261">
        <v>9</v>
      </c>
      <c r="D261">
        <v>0</v>
      </c>
    </row>
    <row r="262" spans="1:4" x14ac:dyDescent="0.35">
      <c r="A262">
        <v>261</v>
      </c>
      <c r="B262">
        <v>18</v>
      </c>
      <c r="C262">
        <v>18</v>
      </c>
      <c r="D262">
        <v>18</v>
      </c>
    </row>
    <row r="263" spans="1:4" x14ac:dyDescent="0.35">
      <c r="A263">
        <v>262</v>
      </c>
      <c r="B263">
        <v>8</v>
      </c>
      <c r="C263">
        <v>8</v>
      </c>
      <c r="D263">
        <v>8</v>
      </c>
    </row>
    <row r="264" spans="1:4" x14ac:dyDescent="0.35">
      <c r="A264">
        <v>263</v>
      </c>
      <c r="B264">
        <v>13</v>
      </c>
      <c r="C264">
        <v>12</v>
      </c>
      <c r="D264">
        <v>12</v>
      </c>
    </row>
    <row r="265" spans="1:4" x14ac:dyDescent="0.35">
      <c r="A265">
        <v>264</v>
      </c>
      <c r="B265">
        <v>10</v>
      </c>
      <c r="C265">
        <v>9</v>
      </c>
      <c r="D265">
        <v>9</v>
      </c>
    </row>
    <row r="266" spans="1:4" x14ac:dyDescent="0.35">
      <c r="A266">
        <v>265</v>
      </c>
      <c r="B266">
        <v>9</v>
      </c>
      <c r="C266">
        <v>10</v>
      </c>
      <c r="D266">
        <v>0</v>
      </c>
    </row>
    <row r="267" spans="1:4" x14ac:dyDescent="0.35">
      <c r="A267">
        <v>266</v>
      </c>
      <c r="B267">
        <v>17</v>
      </c>
      <c r="C267">
        <v>17</v>
      </c>
      <c r="D267">
        <v>17</v>
      </c>
    </row>
    <row r="268" spans="1:4" x14ac:dyDescent="0.35">
      <c r="A268">
        <v>267</v>
      </c>
      <c r="B268">
        <v>9</v>
      </c>
      <c r="C268">
        <v>9</v>
      </c>
      <c r="D268">
        <v>10</v>
      </c>
    </row>
    <row r="269" spans="1:4" x14ac:dyDescent="0.35">
      <c r="A269">
        <v>268</v>
      </c>
      <c r="B269">
        <v>12</v>
      </c>
      <c r="C269">
        <v>10</v>
      </c>
      <c r="D269">
        <v>11</v>
      </c>
    </row>
    <row r="270" spans="1:4" x14ac:dyDescent="0.35">
      <c r="A270">
        <v>269</v>
      </c>
      <c r="B270">
        <v>10</v>
      </c>
      <c r="C270">
        <v>9</v>
      </c>
      <c r="D270">
        <v>10</v>
      </c>
    </row>
    <row r="271" spans="1:4" x14ac:dyDescent="0.35">
      <c r="A271">
        <v>270</v>
      </c>
      <c r="B271">
        <v>6</v>
      </c>
      <c r="C271">
        <v>0</v>
      </c>
      <c r="D271">
        <v>0</v>
      </c>
    </row>
    <row r="272" spans="1:4" x14ac:dyDescent="0.35">
      <c r="A272">
        <v>271</v>
      </c>
      <c r="B272">
        <v>9</v>
      </c>
      <c r="C272">
        <v>9</v>
      </c>
      <c r="D272">
        <v>0</v>
      </c>
    </row>
    <row r="273" spans="1:4" x14ac:dyDescent="0.35">
      <c r="A273">
        <v>272</v>
      </c>
      <c r="B273">
        <v>15</v>
      </c>
      <c r="C273">
        <v>14</v>
      </c>
      <c r="D273">
        <v>14</v>
      </c>
    </row>
    <row r="274" spans="1:4" x14ac:dyDescent="0.35">
      <c r="A274">
        <v>273</v>
      </c>
      <c r="B274">
        <v>11</v>
      </c>
      <c r="C274">
        <v>11</v>
      </c>
      <c r="D274">
        <v>11</v>
      </c>
    </row>
    <row r="275" spans="1:4" x14ac:dyDescent="0.35">
      <c r="A275">
        <v>274</v>
      </c>
      <c r="B275">
        <v>15</v>
      </c>
      <c r="C275">
        <v>14</v>
      </c>
      <c r="D275">
        <v>14</v>
      </c>
    </row>
    <row r="276" spans="1:4" x14ac:dyDescent="0.35">
      <c r="A276">
        <v>275</v>
      </c>
      <c r="B276">
        <v>10</v>
      </c>
      <c r="C276">
        <v>10</v>
      </c>
      <c r="D276">
        <v>10</v>
      </c>
    </row>
    <row r="277" spans="1:4" x14ac:dyDescent="0.35">
      <c r="A277">
        <v>276</v>
      </c>
      <c r="B277">
        <v>12</v>
      </c>
      <c r="C277">
        <v>12</v>
      </c>
      <c r="D277">
        <v>12</v>
      </c>
    </row>
    <row r="278" spans="1:4" x14ac:dyDescent="0.35">
      <c r="A278">
        <v>277</v>
      </c>
      <c r="B278">
        <v>10</v>
      </c>
      <c r="C278">
        <v>9</v>
      </c>
      <c r="D278">
        <v>9</v>
      </c>
    </row>
    <row r="279" spans="1:4" x14ac:dyDescent="0.35">
      <c r="A279">
        <v>278</v>
      </c>
      <c r="B279">
        <v>9</v>
      </c>
      <c r="C279">
        <v>9</v>
      </c>
      <c r="D279">
        <v>9</v>
      </c>
    </row>
    <row r="280" spans="1:4" x14ac:dyDescent="0.35">
      <c r="A280">
        <v>279</v>
      </c>
      <c r="B280">
        <v>9</v>
      </c>
      <c r="C280">
        <v>8</v>
      </c>
      <c r="D280">
        <v>8</v>
      </c>
    </row>
    <row r="281" spans="1:4" x14ac:dyDescent="0.35">
      <c r="A281">
        <v>280</v>
      </c>
      <c r="B281">
        <v>10</v>
      </c>
      <c r="C281">
        <v>11</v>
      </c>
      <c r="D281">
        <v>10</v>
      </c>
    </row>
    <row r="282" spans="1:4" x14ac:dyDescent="0.35">
      <c r="A282">
        <v>281</v>
      </c>
      <c r="B282">
        <v>8</v>
      </c>
      <c r="C282">
        <v>8</v>
      </c>
      <c r="D282">
        <v>8</v>
      </c>
    </row>
    <row r="283" spans="1:4" x14ac:dyDescent="0.35">
      <c r="A283">
        <v>282</v>
      </c>
      <c r="B283">
        <v>11</v>
      </c>
      <c r="C283">
        <v>9</v>
      </c>
      <c r="D283">
        <v>10</v>
      </c>
    </row>
    <row r="284" spans="1:4" x14ac:dyDescent="0.35">
      <c r="A284">
        <v>283</v>
      </c>
      <c r="B284">
        <v>12</v>
      </c>
      <c r="C284">
        <v>12</v>
      </c>
      <c r="D284">
        <v>12</v>
      </c>
    </row>
    <row r="285" spans="1:4" x14ac:dyDescent="0.35">
      <c r="A285">
        <v>284</v>
      </c>
      <c r="B285">
        <v>8</v>
      </c>
      <c r="C285">
        <v>9</v>
      </c>
      <c r="D285">
        <v>10</v>
      </c>
    </row>
    <row r="286" spans="1:4" x14ac:dyDescent="0.35">
      <c r="A286">
        <v>285</v>
      </c>
      <c r="B286">
        <v>10</v>
      </c>
      <c r="C286">
        <v>9</v>
      </c>
      <c r="D286">
        <v>11</v>
      </c>
    </row>
    <row r="287" spans="1:4" x14ac:dyDescent="0.35">
      <c r="A287">
        <v>286</v>
      </c>
      <c r="B287">
        <v>12</v>
      </c>
      <c r="C287">
        <v>10</v>
      </c>
      <c r="D287">
        <v>11</v>
      </c>
    </row>
    <row r="288" spans="1:4" x14ac:dyDescent="0.35">
      <c r="A288">
        <v>287</v>
      </c>
      <c r="B288">
        <v>18</v>
      </c>
      <c r="C288">
        <v>18</v>
      </c>
      <c r="D288">
        <v>19</v>
      </c>
    </row>
    <row r="289" spans="1:4" x14ac:dyDescent="0.35">
      <c r="A289">
        <v>288</v>
      </c>
      <c r="B289">
        <v>13</v>
      </c>
      <c r="C289">
        <v>12</v>
      </c>
      <c r="D289">
        <v>12</v>
      </c>
    </row>
    <row r="290" spans="1:4" x14ac:dyDescent="0.35">
      <c r="A290">
        <v>289</v>
      </c>
      <c r="B290">
        <v>15</v>
      </c>
      <c r="C290">
        <v>14</v>
      </c>
      <c r="D290">
        <v>14</v>
      </c>
    </row>
    <row r="291" spans="1:4" x14ac:dyDescent="0.35">
      <c r="A291">
        <v>290</v>
      </c>
      <c r="B291">
        <v>15</v>
      </c>
      <c r="C291">
        <v>13</v>
      </c>
      <c r="D291">
        <v>15</v>
      </c>
    </row>
    <row r="292" spans="1:4" x14ac:dyDescent="0.35">
      <c r="A292">
        <v>291</v>
      </c>
      <c r="B292">
        <v>12</v>
      </c>
      <c r="C292">
        <v>11</v>
      </c>
      <c r="D292">
        <v>11</v>
      </c>
    </row>
    <row r="293" spans="1:4" x14ac:dyDescent="0.35">
      <c r="A293">
        <v>292</v>
      </c>
      <c r="B293">
        <v>15</v>
      </c>
      <c r="C293">
        <v>15</v>
      </c>
      <c r="D293">
        <v>15</v>
      </c>
    </row>
    <row r="294" spans="1:4" x14ac:dyDescent="0.35">
      <c r="A294">
        <v>293</v>
      </c>
      <c r="B294">
        <v>12</v>
      </c>
      <c r="C294">
        <v>12</v>
      </c>
      <c r="D294">
        <v>13</v>
      </c>
    </row>
    <row r="295" spans="1:4" x14ac:dyDescent="0.35">
      <c r="A295">
        <v>294</v>
      </c>
      <c r="B295">
        <v>18</v>
      </c>
      <c r="C295">
        <v>18</v>
      </c>
      <c r="D295">
        <v>18</v>
      </c>
    </row>
    <row r="296" spans="1:4" x14ac:dyDescent="0.35">
      <c r="A296">
        <v>295</v>
      </c>
      <c r="B296">
        <v>14</v>
      </c>
      <c r="C296">
        <v>13</v>
      </c>
      <c r="D296">
        <v>14</v>
      </c>
    </row>
    <row r="297" spans="1:4" x14ac:dyDescent="0.35">
      <c r="A297">
        <v>296</v>
      </c>
      <c r="B297">
        <v>14</v>
      </c>
      <c r="C297">
        <v>12</v>
      </c>
      <c r="D297">
        <v>11</v>
      </c>
    </row>
    <row r="298" spans="1:4" x14ac:dyDescent="0.35">
      <c r="A298">
        <v>297</v>
      </c>
      <c r="B298">
        <v>10</v>
      </c>
      <c r="C298">
        <v>9</v>
      </c>
      <c r="D298">
        <v>0</v>
      </c>
    </row>
    <row r="299" spans="1:4" x14ac:dyDescent="0.35">
      <c r="A299">
        <v>298</v>
      </c>
      <c r="B299">
        <v>10</v>
      </c>
      <c r="C299">
        <v>8</v>
      </c>
      <c r="D299">
        <v>8</v>
      </c>
    </row>
    <row r="300" spans="1:4" x14ac:dyDescent="0.35">
      <c r="A300">
        <v>299</v>
      </c>
      <c r="B300">
        <v>13.5</v>
      </c>
      <c r="C300">
        <v>13</v>
      </c>
      <c r="D300">
        <v>14</v>
      </c>
    </row>
    <row r="301" spans="1:4" x14ac:dyDescent="0.35">
      <c r="A301">
        <v>300</v>
      </c>
      <c r="B301">
        <v>15.5</v>
      </c>
      <c r="C301">
        <v>15</v>
      </c>
      <c r="D301">
        <v>16</v>
      </c>
    </row>
    <row r="302" spans="1:4" x14ac:dyDescent="0.35">
      <c r="A302">
        <v>301</v>
      </c>
      <c r="B302">
        <v>12</v>
      </c>
      <c r="C302">
        <v>10</v>
      </c>
      <c r="D302">
        <v>11</v>
      </c>
    </row>
    <row r="303" spans="1:4" x14ac:dyDescent="0.35">
      <c r="A303">
        <v>302</v>
      </c>
      <c r="B303">
        <v>11</v>
      </c>
      <c r="C303">
        <v>11</v>
      </c>
      <c r="D303">
        <v>10</v>
      </c>
    </row>
    <row r="304" spans="1:4" x14ac:dyDescent="0.35">
      <c r="A304">
        <v>303</v>
      </c>
      <c r="B304">
        <v>15</v>
      </c>
      <c r="C304">
        <v>12</v>
      </c>
      <c r="D304">
        <v>14</v>
      </c>
    </row>
    <row r="305" spans="1:4" x14ac:dyDescent="0.35">
      <c r="A305">
        <v>304</v>
      </c>
      <c r="B305">
        <v>17</v>
      </c>
      <c r="C305">
        <v>17</v>
      </c>
      <c r="D305">
        <v>18</v>
      </c>
    </row>
    <row r="306" spans="1:4" x14ac:dyDescent="0.35">
      <c r="A306">
        <v>305</v>
      </c>
      <c r="B306">
        <v>15</v>
      </c>
      <c r="C306">
        <v>14</v>
      </c>
      <c r="D306">
        <v>13</v>
      </c>
    </row>
    <row r="307" spans="1:4" x14ac:dyDescent="0.35">
      <c r="A307">
        <v>306</v>
      </c>
      <c r="B307">
        <v>14</v>
      </c>
      <c r="C307">
        <v>12</v>
      </c>
      <c r="D307">
        <v>0</v>
      </c>
    </row>
    <row r="308" spans="1:4" x14ac:dyDescent="0.35">
      <c r="A308">
        <v>307</v>
      </c>
      <c r="B308">
        <v>17</v>
      </c>
      <c r="C308">
        <v>18</v>
      </c>
      <c r="D308">
        <v>18</v>
      </c>
    </row>
    <row r="309" spans="1:4" x14ac:dyDescent="0.35">
      <c r="A309">
        <v>308</v>
      </c>
      <c r="B309">
        <v>8</v>
      </c>
      <c r="C309">
        <v>9</v>
      </c>
      <c r="D309">
        <v>8</v>
      </c>
    </row>
    <row r="310" spans="1:4" x14ac:dyDescent="0.35">
      <c r="A310">
        <v>309</v>
      </c>
      <c r="B310">
        <v>15</v>
      </c>
      <c r="C310">
        <v>12</v>
      </c>
      <c r="D310">
        <v>12</v>
      </c>
    </row>
    <row r="311" spans="1:4" x14ac:dyDescent="0.35">
      <c r="A311">
        <v>310</v>
      </c>
      <c r="B311">
        <v>12</v>
      </c>
      <c r="C311">
        <v>10</v>
      </c>
      <c r="D311">
        <v>10</v>
      </c>
    </row>
    <row r="312" spans="1:4" x14ac:dyDescent="0.35">
      <c r="A312">
        <v>311</v>
      </c>
      <c r="B312">
        <v>9</v>
      </c>
      <c r="C312">
        <v>9</v>
      </c>
      <c r="D312">
        <v>0</v>
      </c>
    </row>
    <row r="313" spans="1:4" x14ac:dyDescent="0.35">
      <c r="A313">
        <v>312</v>
      </c>
      <c r="B313">
        <v>14</v>
      </c>
      <c r="C313">
        <v>12</v>
      </c>
      <c r="D313">
        <v>13</v>
      </c>
    </row>
    <row r="314" spans="1:4" x14ac:dyDescent="0.35">
      <c r="A314">
        <v>313</v>
      </c>
      <c r="B314">
        <v>13</v>
      </c>
      <c r="C314">
        <v>11</v>
      </c>
      <c r="D314">
        <v>11</v>
      </c>
    </row>
    <row r="315" spans="1:4" x14ac:dyDescent="0.35">
      <c r="A315">
        <v>314</v>
      </c>
      <c r="B315">
        <v>13</v>
      </c>
      <c r="C315">
        <v>10</v>
      </c>
      <c r="D315">
        <v>11</v>
      </c>
    </row>
    <row r="316" spans="1:4" x14ac:dyDescent="0.35">
      <c r="A316">
        <v>315</v>
      </c>
      <c r="B316">
        <v>15</v>
      </c>
      <c r="C316">
        <v>13</v>
      </c>
      <c r="D316">
        <v>13</v>
      </c>
    </row>
    <row r="317" spans="1:4" x14ac:dyDescent="0.35">
      <c r="A317">
        <v>316</v>
      </c>
      <c r="B317">
        <v>13</v>
      </c>
      <c r="C317">
        <v>11</v>
      </c>
      <c r="D317">
        <v>11</v>
      </c>
    </row>
    <row r="318" spans="1:4" x14ac:dyDescent="0.35">
      <c r="A318">
        <v>317</v>
      </c>
      <c r="B318">
        <v>8</v>
      </c>
      <c r="C318">
        <v>8</v>
      </c>
      <c r="D318">
        <v>0</v>
      </c>
    </row>
    <row r="319" spans="1:4" x14ac:dyDescent="0.35">
      <c r="A319">
        <v>318</v>
      </c>
      <c r="B319">
        <v>9</v>
      </c>
      <c r="C319">
        <v>10</v>
      </c>
      <c r="D319">
        <v>9</v>
      </c>
    </row>
    <row r="320" spans="1:4" x14ac:dyDescent="0.35">
      <c r="A320">
        <v>319</v>
      </c>
      <c r="B320">
        <v>11</v>
      </c>
      <c r="C320">
        <v>11</v>
      </c>
      <c r="D320">
        <v>10</v>
      </c>
    </row>
    <row r="321" spans="1:4" x14ac:dyDescent="0.35">
      <c r="A321">
        <v>320</v>
      </c>
      <c r="B321">
        <v>11</v>
      </c>
      <c r="C321">
        <v>11</v>
      </c>
      <c r="D321">
        <v>11</v>
      </c>
    </row>
    <row r="322" spans="1:4" x14ac:dyDescent="0.35">
      <c r="A322">
        <v>321</v>
      </c>
      <c r="B322">
        <v>13</v>
      </c>
      <c r="C322">
        <v>13</v>
      </c>
      <c r="D322">
        <v>13</v>
      </c>
    </row>
    <row r="323" spans="1:4" x14ac:dyDescent="0.35">
      <c r="A323">
        <v>322</v>
      </c>
      <c r="B323">
        <v>11</v>
      </c>
      <c r="C323">
        <v>10</v>
      </c>
      <c r="D323">
        <v>9</v>
      </c>
    </row>
    <row r="324" spans="1:4" x14ac:dyDescent="0.35">
      <c r="A324">
        <v>323</v>
      </c>
      <c r="B324">
        <v>11</v>
      </c>
      <c r="C324">
        <v>11</v>
      </c>
      <c r="D324">
        <v>11</v>
      </c>
    </row>
    <row r="325" spans="1:4" x14ac:dyDescent="0.35">
      <c r="A325">
        <v>324</v>
      </c>
      <c r="B325">
        <v>12</v>
      </c>
      <c r="C325">
        <v>14</v>
      </c>
      <c r="D325">
        <v>15</v>
      </c>
    </row>
    <row r="326" spans="1:4" x14ac:dyDescent="0.35">
      <c r="A326">
        <v>325</v>
      </c>
      <c r="B326">
        <v>16</v>
      </c>
      <c r="C326">
        <v>15</v>
      </c>
      <c r="D326">
        <v>15</v>
      </c>
    </row>
    <row r="327" spans="1:4" x14ac:dyDescent="0.35">
      <c r="A327">
        <v>326</v>
      </c>
      <c r="B327">
        <v>9</v>
      </c>
      <c r="C327">
        <v>12</v>
      </c>
      <c r="D327">
        <v>11</v>
      </c>
    </row>
    <row r="328" spans="1:4" x14ac:dyDescent="0.35">
      <c r="A328">
        <v>327</v>
      </c>
      <c r="B328">
        <v>14</v>
      </c>
      <c r="C328">
        <v>15</v>
      </c>
      <c r="D328">
        <v>16</v>
      </c>
    </row>
    <row r="329" spans="1:4" x14ac:dyDescent="0.35">
      <c r="A329">
        <v>328</v>
      </c>
      <c r="B329">
        <v>11</v>
      </c>
      <c r="C329">
        <v>10</v>
      </c>
      <c r="D329">
        <v>10</v>
      </c>
    </row>
    <row r="330" spans="1:4" x14ac:dyDescent="0.35">
      <c r="A330">
        <v>329</v>
      </c>
      <c r="B330">
        <v>10</v>
      </c>
      <c r="C330">
        <v>9</v>
      </c>
      <c r="D330">
        <v>9</v>
      </c>
    </row>
    <row r="331" spans="1:4" x14ac:dyDescent="0.35">
      <c r="A331">
        <v>330</v>
      </c>
      <c r="B331">
        <v>14</v>
      </c>
      <c r="C331">
        <v>14</v>
      </c>
      <c r="D331">
        <v>14</v>
      </c>
    </row>
    <row r="332" spans="1:4" x14ac:dyDescent="0.35">
      <c r="A332">
        <v>331</v>
      </c>
      <c r="B332">
        <v>9</v>
      </c>
      <c r="C332">
        <v>8</v>
      </c>
      <c r="D332">
        <v>8</v>
      </c>
    </row>
    <row r="333" spans="1:4" x14ac:dyDescent="0.35">
      <c r="A333">
        <v>332</v>
      </c>
      <c r="B333">
        <v>12</v>
      </c>
      <c r="C333">
        <v>14</v>
      </c>
      <c r="D333">
        <v>14</v>
      </c>
    </row>
    <row r="334" spans="1:4" x14ac:dyDescent="0.35">
      <c r="A334">
        <v>333</v>
      </c>
      <c r="B334">
        <v>7</v>
      </c>
      <c r="C334">
        <v>0</v>
      </c>
      <c r="D334">
        <v>0</v>
      </c>
    </row>
    <row r="335" spans="1:4" x14ac:dyDescent="0.35">
      <c r="A335">
        <v>334</v>
      </c>
      <c r="B335">
        <v>8</v>
      </c>
      <c r="C335">
        <v>8</v>
      </c>
      <c r="D335">
        <v>0</v>
      </c>
    </row>
    <row r="336" spans="1:4" x14ac:dyDescent="0.35">
      <c r="A336">
        <v>335</v>
      </c>
      <c r="B336">
        <v>10</v>
      </c>
      <c r="C336">
        <v>9</v>
      </c>
      <c r="D336">
        <v>0</v>
      </c>
    </row>
    <row r="337" spans="1:4" x14ac:dyDescent="0.35">
      <c r="A337">
        <v>336</v>
      </c>
      <c r="B337">
        <v>16</v>
      </c>
      <c r="C337">
        <v>15</v>
      </c>
      <c r="D337">
        <v>15</v>
      </c>
    </row>
    <row r="338" spans="1:4" x14ac:dyDescent="0.35">
      <c r="A338">
        <v>337</v>
      </c>
      <c r="B338">
        <v>14</v>
      </c>
      <c r="C338">
        <v>13</v>
      </c>
      <c r="D338">
        <v>13</v>
      </c>
    </row>
    <row r="339" spans="1:4" x14ac:dyDescent="0.35">
      <c r="A339">
        <v>338</v>
      </c>
      <c r="B339">
        <v>7</v>
      </c>
      <c r="C339">
        <v>8</v>
      </c>
      <c r="D339">
        <v>0</v>
      </c>
    </row>
    <row r="340" spans="1:4" x14ac:dyDescent="0.35">
      <c r="A340">
        <v>339</v>
      </c>
      <c r="B340">
        <v>16</v>
      </c>
      <c r="C340">
        <v>15</v>
      </c>
      <c r="D340">
        <v>17</v>
      </c>
    </row>
    <row r="341" spans="1:4" x14ac:dyDescent="0.35">
      <c r="A341">
        <v>340</v>
      </c>
      <c r="B341">
        <v>9</v>
      </c>
      <c r="C341">
        <v>10</v>
      </c>
      <c r="D341">
        <v>10</v>
      </c>
    </row>
    <row r="342" spans="1:4" x14ac:dyDescent="0.35">
      <c r="A342">
        <v>341</v>
      </c>
      <c r="B342">
        <v>11</v>
      </c>
      <c r="C342">
        <v>12</v>
      </c>
      <c r="D342">
        <v>11</v>
      </c>
    </row>
    <row r="343" spans="1:4" x14ac:dyDescent="0.35">
      <c r="A343">
        <v>342</v>
      </c>
      <c r="B343">
        <v>10</v>
      </c>
      <c r="C343">
        <v>10</v>
      </c>
      <c r="D343">
        <v>0</v>
      </c>
    </row>
    <row r="344" spans="1:4" x14ac:dyDescent="0.35">
      <c r="A344">
        <v>343</v>
      </c>
      <c r="B344">
        <v>16</v>
      </c>
      <c r="C344">
        <v>15</v>
      </c>
      <c r="D344">
        <v>15</v>
      </c>
    </row>
    <row r="345" spans="1:4" x14ac:dyDescent="0.35">
      <c r="A345">
        <v>344</v>
      </c>
      <c r="B345">
        <v>9</v>
      </c>
      <c r="C345">
        <v>8</v>
      </c>
      <c r="D345">
        <v>0</v>
      </c>
    </row>
    <row r="346" spans="1:4" x14ac:dyDescent="0.35">
      <c r="A346">
        <v>345</v>
      </c>
      <c r="B346">
        <v>11</v>
      </c>
      <c r="C346">
        <v>10</v>
      </c>
      <c r="D346">
        <v>10</v>
      </c>
    </row>
    <row r="347" spans="1:4" x14ac:dyDescent="0.35">
      <c r="A347">
        <v>346</v>
      </c>
      <c r="B347">
        <v>13</v>
      </c>
      <c r="C347">
        <v>13</v>
      </c>
      <c r="D347">
        <v>14</v>
      </c>
    </row>
    <row r="348" spans="1:4" x14ac:dyDescent="0.35">
      <c r="A348">
        <v>347</v>
      </c>
      <c r="B348">
        <v>16</v>
      </c>
      <c r="C348">
        <v>15</v>
      </c>
      <c r="D348">
        <v>16</v>
      </c>
    </row>
    <row r="349" spans="1:4" x14ac:dyDescent="0.35">
      <c r="A349">
        <v>348</v>
      </c>
      <c r="B349">
        <v>10</v>
      </c>
      <c r="C349">
        <v>10</v>
      </c>
      <c r="D349">
        <v>9</v>
      </c>
    </row>
    <row r="350" spans="1:4" x14ac:dyDescent="0.35">
      <c r="A350">
        <v>349</v>
      </c>
      <c r="B350">
        <v>13</v>
      </c>
      <c r="C350">
        <v>15</v>
      </c>
      <c r="D350">
        <v>0</v>
      </c>
    </row>
    <row r="351" spans="1:4" x14ac:dyDescent="0.35">
      <c r="A351">
        <v>350</v>
      </c>
      <c r="B351">
        <v>11</v>
      </c>
      <c r="C351">
        <v>13</v>
      </c>
      <c r="D351">
        <v>13</v>
      </c>
    </row>
    <row r="352" spans="1:4" x14ac:dyDescent="0.35">
      <c r="A352">
        <v>351</v>
      </c>
      <c r="B352">
        <v>8</v>
      </c>
      <c r="C352">
        <v>7</v>
      </c>
      <c r="D352">
        <v>8</v>
      </c>
    </row>
    <row r="353" spans="1:4" x14ac:dyDescent="0.35">
      <c r="A353">
        <v>352</v>
      </c>
      <c r="B353">
        <v>13</v>
      </c>
      <c r="C353">
        <v>13</v>
      </c>
      <c r="D353">
        <v>13</v>
      </c>
    </row>
    <row r="354" spans="1:4" x14ac:dyDescent="0.35">
      <c r="A354">
        <v>353</v>
      </c>
      <c r="B354">
        <v>8</v>
      </c>
      <c r="C354">
        <v>7</v>
      </c>
      <c r="D354">
        <v>8</v>
      </c>
    </row>
    <row r="355" spans="1:4" x14ac:dyDescent="0.35">
      <c r="A355">
        <v>354</v>
      </c>
      <c r="B355">
        <v>8</v>
      </c>
      <c r="C355">
        <v>8</v>
      </c>
      <c r="D355">
        <v>8</v>
      </c>
    </row>
    <row r="356" spans="1:4" x14ac:dyDescent="0.35">
      <c r="A356">
        <v>355</v>
      </c>
      <c r="B356">
        <v>13</v>
      </c>
      <c r="C356">
        <v>11</v>
      </c>
      <c r="D356">
        <v>11</v>
      </c>
    </row>
    <row r="357" spans="1:4" x14ac:dyDescent="0.35">
      <c r="A357">
        <v>356</v>
      </c>
      <c r="B357">
        <v>10</v>
      </c>
      <c r="C357">
        <v>9</v>
      </c>
      <c r="D357">
        <v>9</v>
      </c>
    </row>
    <row r="358" spans="1:4" x14ac:dyDescent="0.35">
      <c r="A358">
        <v>357</v>
      </c>
      <c r="B358">
        <v>12</v>
      </c>
      <c r="C358">
        <v>13</v>
      </c>
      <c r="D358">
        <v>13</v>
      </c>
    </row>
    <row r="359" spans="1:4" x14ac:dyDescent="0.35">
      <c r="A359">
        <v>358</v>
      </c>
      <c r="B359">
        <v>12</v>
      </c>
      <c r="C359">
        <v>12</v>
      </c>
      <c r="D359">
        <v>11</v>
      </c>
    </row>
    <row r="360" spans="1:4" x14ac:dyDescent="0.35">
      <c r="A360">
        <v>359</v>
      </c>
      <c r="B360">
        <v>10</v>
      </c>
      <c r="C360">
        <v>10</v>
      </c>
      <c r="D360">
        <v>10</v>
      </c>
    </row>
    <row r="361" spans="1:4" x14ac:dyDescent="0.35">
      <c r="A361">
        <v>360</v>
      </c>
      <c r="B361">
        <v>18</v>
      </c>
      <c r="C361">
        <v>16</v>
      </c>
      <c r="D361">
        <v>16</v>
      </c>
    </row>
    <row r="362" spans="1:4" x14ac:dyDescent="0.35">
      <c r="A362">
        <v>361</v>
      </c>
      <c r="B362">
        <v>13</v>
      </c>
      <c r="C362">
        <v>13</v>
      </c>
      <c r="D362">
        <v>13</v>
      </c>
    </row>
    <row r="363" spans="1:4" x14ac:dyDescent="0.35">
      <c r="A363">
        <v>362</v>
      </c>
      <c r="B363">
        <v>13</v>
      </c>
      <c r="C363">
        <v>12</v>
      </c>
      <c r="D363">
        <v>12</v>
      </c>
    </row>
    <row r="364" spans="1:4" x14ac:dyDescent="0.35">
      <c r="A364">
        <v>363</v>
      </c>
      <c r="B364">
        <v>11</v>
      </c>
      <c r="C364">
        <v>11</v>
      </c>
      <c r="D364">
        <v>10</v>
      </c>
    </row>
    <row r="365" spans="1:4" x14ac:dyDescent="0.35">
      <c r="A365">
        <v>364</v>
      </c>
      <c r="B365">
        <v>16</v>
      </c>
      <c r="C365">
        <v>15</v>
      </c>
      <c r="D365">
        <v>15</v>
      </c>
    </row>
    <row r="366" spans="1:4" x14ac:dyDescent="0.35">
      <c r="A366">
        <v>365</v>
      </c>
      <c r="B366">
        <v>12</v>
      </c>
      <c r="C366">
        <v>11</v>
      </c>
      <c r="D366">
        <v>12</v>
      </c>
    </row>
    <row r="367" spans="1:4" x14ac:dyDescent="0.35">
      <c r="A367">
        <v>366</v>
      </c>
      <c r="B367">
        <v>10</v>
      </c>
      <c r="C367">
        <v>10</v>
      </c>
      <c r="D367">
        <v>10</v>
      </c>
    </row>
    <row r="368" spans="1:4" x14ac:dyDescent="0.35">
      <c r="A368">
        <v>367</v>
      </c>
      <c r="B368">
        <v>13</v>
      </c>
      <c r="C368">
        <v>13</v>
      </c>
      <c r="D368">
        <v>13</v>
      </c>
    </row>
    <row r="369" spans="1:4" x14ac:dyDescent="0.35">
      <c r="A369">
        <v>368</v>
      </c>
      <c r="B369">
        <v>7</v>
      </c>
      <c r="C369">
        <v>6</v>
      </c>
      <c r="D369">
        <v>0</v>
      </c>
    </row>
    <row r="370" spans="1:4" x14ac:dyDescent="0.35">
      <c r="A370">
        <v>369</v>
      </c>
      <c r="B370">
        <v>11</v>
      </c>
      <c r="C370">
        <v>10</v>
      </c>
      <c r="D370">
        <v>10</v>
      </c>
    </row>
    <row r="371" spans="1:4" x14ac:dyDescent="0.35">
      <c r="A371">
        <v>370</v>
      </c>
      <c r="B371">
        <v>14</v>
      </c>
      <c r="C371">
        <v>12</v>
      </c>
      <c r="D371">
        <v>11</v>
      </c>
    </row>
    <row r="372" spans="1:4" x14ac:dyDescent="0.35">
      <c r="A372">
        <v>371</v>
      </c>
      <c r="B372">
        <v>7</v>
      </c>
      <c r="C372">
        <v>7</v>
      </c>
      <c r="D372">
        <v>9</v>
      </c>
    </row>
    <row r="373" spans="1:4" x14ac:dyDescent="0.35">
      <c r="A373">
        <v>372</v>
      </c>
      <c r="B373">
        <v>14</v>
      </c>
      <c r="C373">
        <v>12</v>
      </c>
      <c r="D373">
        <v>12</v>
      </c>
    </row>
    <row r="374" spans="1:4" x14ac:dyDescent="0.35">
      <c r="A374">
        <v>373</v>
      </c>
      <c r="B374">
        <v>13</v>
      </c>
      <c r="C374">
        <v>11</v>
      </c>
      <c r="D374">
        <v>11</v>
      </c>
    </row>
    <row r="375" spans="1:4" x14ac:dyDescent="0.35">
      <c r="A375">
        <v>374</v>
      </c>
      <c r="B375">
        <v>6</v>
      </c>
      <c r="C375">
        <v>5</v>
      </c>
      <c r="D375">
        <v>5</v>
      </c>
    </row>
    <row r="376" spans="1:4" x14ac:dyDescent="0.35">
      <c r="A376">
        <v>375</v>
      </c>
      <c r="B376">
        <v>19</v>
      </c>
      <c r="C376">
        <v>18</v>
      </c>
      <c r="D376">
        <v>19</v>
      </c>
    </row>
    <row r="377" spans="1:4" x14ac:dyDescent="0.35">
      <c r="A377">
        <v>376</v>
      </c>
      <c r="B377">
        <v>8</v>
      </c>
      <c r="C377">
        <v>8</v>
      </c>
      <c r="D377">
        <v>10</v>
      </c>
    </row>
    <row r="378" spans="1:4" x14ac:dyDescent="0.35">
      <c r="A378">
        <v>377</v>
      </c>
      <c r="B378">
        <v>15</v>
      </c>
      <c r="C378">
        <v>14</v>
      </c>
      <c r="D378">
        <v>15</v>
      </c>
    </row>
    <row r="379" spans="1:4" x14ac:dyDescent="0.35">
      <c r="A379">
        <v>378</v>
      </c>
      <c r="B379">
        <v>8</v>
      </c>
      <c r="C379">
        <v>9</v>
      </c>
      <c r="D379">
        <v>10</v>
      </c>
    </row>
    <row r="380" spans="1:4" x14ac:dyDescent="0.35">
      <c r="A380">
        <v>379</v>
      </c>
      <c r="B380">
        <v>15</v>
      </c>
      <c r="C380">
        <v>15</v>
      </c>
      <c r="D380">
        <v>15</v>
      </c>
    </row>
    <row r="381" spans="1:4" x14ac:dyDescent="0.35">
      <c r="A381">
        <v>380</v>
      </c>
      <c r="B381">
        <v>10</v>
      </c>
      <c r="C381">
        <v>10</v>
      </c>
      <c r="D381">
        <v>10</v>
      </c>
    </row>
    <row r="382" spans="1:4" x14ac:dyDescent="0.35">
      <c r="A382">
        <v>381</v>
      </c>
      <c r="B382">
        <v>15</v>
      </c>
      <c r="C382">
        <v>14</v>
      </c>
      <c r="D382">
        <v>14</v>
      </c>
    </row>
    <row r="383" spans="1:4" x14ac:dyDescent="0.35">
      <c r="A383">
        <v>382</v>
      </c>
      <c r="B383">
        <v>7</v>
      </c>
      <c r="C383">
        <v>6</v>
      </c>
      <c r="D383">
        <v>7</v>
      </c>
    </row>
    <row r="384" spans="1:4" x14ac:dyDescent="0.35">
      <c r="A384">
        <v>383</v>
      </c>
      <c r="B384">
        <v>11</v>
      </c>
      <c r="C384">
        <v>11</v>
      </c>
      <c r="D384">
        <v>10</v>
      </c>
    </row>
    <row r="385" spans="1:4" x14ac:dyDescent="0.35">
      <c r="A385">
        <v>384</v>
      </c>
      <c r="B385">
        <v>6</v>
      </c>
      <c r="C385">
        <v>5</v>
      </c>
      <c r="D385">
        <v>0</v>
      </c>
    </row>
    <row r="386" spans="1:4" x14ac:dyDescent="0.35">
      <c r="A386">
        <v>385</v>
      </c>
      <c r="B386">
        <v>6</v>
      </c>
      <c r="C386">
        <v>5</v>
      </c>
      <c r="D386">
        <v>5</v>
      </c>
    </row>
    <row r="387" spans="1:4" x14ac:dyDescent="0.35">
      <c r="A387">
        <v>386</v>
      </c>
      <c r="B387">
        <v>10</v>
      </c>
      <c r="C387">
        <v>9</v>
      </c>
      <c r="D387">
        <v>10</v>
      </c>
    </row>
    <row r="388" spans="1:4" x14ac:dyDescent="0.35">
      <c r="A388">
        <v>387</v>
      </c>
      <c r="B388">
        <v>6</v>
      </c>
      <c r="C388">
        <v>6</v>
      </c>
      <c r="D388">
        <v>6</v>
      </c>
    </row>
    <row r="389" spans="1:4" x14ac:dyDescent="0.35">
      <c r="A389">
        <v>388</v>
      </c>
      <c r="B389">
        <v>7</v>
      </c>
      <c r="C389">
        <v>5</v>
      </c>
      <c r="D389">
        <v>0</v>
      </c>
    </row>
    <row r="390" spans="1:4" x14ac:dyDescent="0.35">
      <c r="A390">
        <v>389</v>
      </c>
      <c r="B390">
        <v>7</v>
      </c>
      <c r="C390">
        <v>9</v>
      </c>
      <c r="D390">
        <v>8</v>
      </c>
    </row>
    <row r="391" spans="1:4" x14ac:dyDescent="0.35">
      <c r="A391">
        <v>390</v>
      </c>
      <c r="B391">
        <v>6</v>
      </c>
      <c r="C391">
        <v>5</v>
      </c>
      <c r="D391">
        <v>0</v>
      </c>
    </row>
    <row r="392" spans="1:4" x14ac:dyDescent="0.35">
      <c r="A392">
        <v>391</v>
      </c>
      <c r="B392">
        <v>9</v>
      </c>
      <c r="C392">
        <v>9</v>
      </c>
      <c r="D392">
        <v>9</v>
      </c>
    </row>
    <row r="393" spans="1:4" x14ac:dyDescent="0.35">
      <c r="A393">
        <v>392</v>
      </c>
      <c r="B393">
        <v>14</v>
      </c>
      <c r="C393">
        <v>16</v>
      </c>
      <c r="D393">
        <v>16</v>
      </c>
    </row>
    <row r="394" spans="1:4" x14ac:dyDescent="0.35">
      <c r="A394">
        <v>393</v>
      </c>
      <c r="B394">
        <v>10</v>
      </c>
      <c r="C394">
        <v>8</v>
      </c>
      <c r="D394">
        <v>7</v>
      </c>
    </row>
    <row r="395" spans="1:4" x14ac:dyDescent="0.35">
      <c r="A395">
        <v>394</v>
      </c>
      <c r="B395">
        <v>11</v>
      </c>
      <c r="C395">
        <v>12</v>
      </c>
      <c r="D395">
        <v>10</v>
      </c>
    </row>
    <row r="396" spans="1:4" x14ac:dyDescent="0.35">
      <c r="A396">
        <v>395</v>
      </c>
      <c r="B396">
        <v>8</v>
      </c>
      <c r="C396">
        <v>9</v>
      </c>
      <c r="D396">
        <v>9</v>
      </c>
    </row>
  </sheetData>
  <conditionalFormatting sqref="D1:D396 D402:D1048576">
    <cfRule type="cellIs" dxfId="0" priority="1" operator="lessThan">
      <formula>10</formula>
    </cfRule>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640F3-157B-4E88-90AF-F2DF1EBB1E34}">
  <dimension ref="A1:K396"/>
  <sheetViews>
    <sheetView zoomScale="59" workbookViewId="0">
      <selection activeCell="S35" sqref="S35"/>
    </sheetView>
  </sheetViews>
  <sheetFormatPr defaultRowHeight="14.5" x14ac:dyDescent="0.35"/>
  <cols>
    <col min="1" max="1" width="13.26953125" bestFit="1" customWidth="1"/>
    <col min="2" max="2" width="11.81640625" bestFit="1" customWidth="1"/>
    <col min="3" max="3" width="17.36328125" bestFit="1" customWidth="1"/>
    <col min="4" max="4" width="22.453125" bestFit="1" customWidth="1"/>
    <col min="5" max="5" width="20.08984375" bestFit="1" customWidth="1"/>
    <col min="6" max="6" width="12.6328125" bestFit="1" customWidth="1"/>
    <col min="7" max="7" width="9.08984375" bestFit="1" customWidth="1"/>
    <col min="8" max="8" width="18.6328125" bestFit="1" customWidth="1"/>
    <col min="9" max="9" width="18.81640625" bestFit="1" customWidth="1"/>
    <col min="10" max="10" width="9.81640625" bestFit="1" customWidth="1"/>
    <col min="11" max="11" width="12.0898437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t="str">
        <f ca="1">IF(LOWER(LEFT(TRIM(tbl_Lifestyle[[#This Row],[activities]]),1))="y","yes","no")</f>
        <v>no</v>
      </c>
      <c r="C2" t="s">
        <v>11</v>
      </c>
      <c r="D2" t="s">
        <v>11</v>
      </c>
      <c r="E2">
        <v>4</v>
      </c>
      <c r="F2">
        <v>3</v>
      </c>
      <c r="G2">
        <v>4</v>
      </c>
      <c r="H2">
        <v>1</v>
      </c>
      <c r="I2">
        <v>1</v>
      </c>
      <c r="J2">
        <v>3</v>
      </c>
      <c r="K2">
        <v>6</v>
      </c>
    </row>
    <row r="3" spans="1:11" x14ac:dyDescent="0.35">
      <c r="A3">
        <v>2</v>
      </c>
      <c r="B3" t="str">
        <f ca="1">IF(LOWER(LEFT(TRIM(tbl_Lifestyle[[#This Row],[activities]]),1))="y","yes","no")</f>
        <v>no</v>
      </c>
      <c r="C3" t="s">
        <v>12</v>
      </c>
      <c r="D3" t="s">
        <v>11</v>
      </c>
      <c r="E3">
        <v>5</v>
      </c>
      <c r="F3">
        <v>3</v>
      </c>
      <c r="G3">
        <v>3</v>
      </c>
      <c r="H3">
        <v>1</v>
      </c>
      <c r="I3">
        <v>1</v>
      </c>
      <c r="J3">
        <v>3</v>
      </c>
      <c r="K3">
        <v>4</v>
      </c>
    </row>
    <row r="4" spans="1:11" x14ac:dyDescent="0.35">
      <c r="A4">
        <v>3</v>
      </c>
      <c r="B4" t="str">
        <f ca="1">IF(LOWER(LEFT(TRIM(tbl_Lifestyle[[#This Row],[activities]]),1))="y","yes","no")</f>
        <v>no</v>
      </c>
      <c r="C4" t="s">
        <v>12</v>
      </c>
      <c r="D4" t="s">
        <v>11</v>
      </c>
      <c r="E4">
        <v>4</v>
      </c>
      <c r="F4">
        <v>3</v>
      </c>
      <c r="G4">
        <v>2</v>
      </c>
      <c r="H4">
        <v>2</v>
      </c>
      <c r="I4">
        <v>3</v>
      </c>
      <c r="J4">
        <v>3</v>
      </c>
      <c r="K4">
        <v>10</v>
      </c>
    </row>
    <row r="5" spans="1:11" x14ac:dyDescent="0.35">
      <c r="A5">
        <v>4</v>
      </c>
      <c r="B5" t="str">
        <f ca="1">IF(LOWER(LEFT(TRIM(tbl_Lifestyle[[#This Row],[activities]]),1))="y","yes","no")</f>
        <v>yes</v>
      </c>
      <c r="C5" t="s">
        <v>12</v>
      </c>
      <c r="D5" t="s">
        <v>12</v>
      </c>
      <c r="E5">
        <v>3</v>
      </c>
      <c r="F5">
        <v>2</v>
      </c>
      <c r="G5">
        <v>2</v>
      </c>
      <c r="H5">
        <v>1</v>
      </c>
      <c r="I5">
        <v>1</v>
      </c>
      <c r="J5">
        <v>5</v>
      </c>
      <c r="K5">
        <v>2</v>
      </c>
    </row>
    <row r="6" spans="1:11" x14ac:dyDescent="0.35">
      <c r="A6">
        <v>5</v>
      </c>
      <c r="B6" t="str">
        <f ca="1">IF(LOWER(LEFT(TRIM(tbl_Lifestyle[[#This Row],[activities]]),1))="y","yes","no")</f>
        <v>no</v>
      </c>
      <c r="C6" t="s">
        <v>11</v>
      </c>
      <c r="D6" t="s">
        <v>11</v>
      </c>
      <c r="E6">
        <v>4</v>
      </c>
      <c r="F6">
        <v>3</v>
      </c>
      <c r="G6">
        <v>2</v>
      </c>
      <c r="H6">
        <v>1</v>
      </c>
      <c r="I6">
        <v>2</v>
      </c>
      <c r="J6">
        <v>5</v>
      </c>
      <c r="K6">
        <v>4</v>
      </c>
    </row>
    <row r="7" spans="1:11" x14ac:dyDescent="0.35">
      <c r="A7">
        <v>6</v>
      </c>
      <c r="B7" t="str">
        <f ca="1">IF(LOWER(LEFT(TRIM(tbl_Lifestyle[[#This Row],[activities]]),1))="y","yes","no")</f>
        <v>yes</v>
      </c>
      <c r="C7" t="s">
        <v>12</v>
      </c>
      <c r="D7" t="s">
        <v>11</v>
      </c>
      <c r="E7">
        <v>5</v>
      </c>
      <c r="F7">
        <v>4</v>
      </c>
      <c r="G7">
        <v>2</v>
      </c>
      <c r="H7">
        <v>1</v>
      </c>
      <c r="I7">
        <v>2</v>
      </c>
      <c r="J7">
        <v>4</v>
      </c>
      <c r="K7">
        <v>10</v>
      </c>
    </row>
    <row r="8" spans="1:11" x14ac:dyDescent="0.35">
      <c r="A8">
        <v>7</v>
      </c>
      <c r="B8" t="str">
        <f ca="1">IF(LOWER(LEFT(TRIM(tbl_Lifestyle[[#This Row],[activities]]),1))="y","yes","no")</f>
        <v>no</v>
      </c>
      <c r="C8" t="s">
        <v>12</v>
      </c>
      <c r="D8" t="s">
        <v>11</v>
      </c>
      <c r="E8">
        <v>4</v>
      </c>
      <c r="F8">
        <v>4</v>
      </c>
      <c r="G8">
        <v>4</v>
      </c>
      <c r="H8">
        <v>1</v>
      </c>
      <c r="I8">
        <v>1</v>
      </c>
      <c r="J8">
        <v>3</v>
      </c>
      <c r="K8">
        <v>0</v>
      </c>
    </row>
    <row r="9" spans="1:11" x14ac:dyDescent="0.35">
      <c r="A9">
        <v>8</v>
      </c>
      <c r="B9" t="str">
        <f ca="1">IF(LOWER(LEFT(TRIM(tbl_Lifestyle[[#This Row],[activities]]),1))="y","yes","no")</f>
        <v>no</v>
      </c>
      <c r="C9" t="s">
        <v>11</v>
      </c>
      <c r="D9" t="s">
        <v>11</v>
      </c>
      <c r="E9">
        <v>4</v>
      </c>
      <c r="F9">
        <v>1</v>
      </c>
      <c r="G9">
        <v>4</v>
      </c>
      <c r="H9">
        <v>1</v>
      </c>
      <c r="I9">
        <v>1</v>
      </c>
      <c r="J9">
        <v>1</v>
      </c>
      <c r="K9">
        <v>6</v>
      </c>
    </row>
    <row r="10" spans="1:11" x14ac:dyDescent="0.35">
      <c r="A10">
        <v>9</v>
      </c>
      <c r="B10" t="str">
        <f ca="1">IF(LOWER(LEFT(TRIM(tbl_Lifestyle[[#This Row],[activities]]),1))="y","yes","no")</f>
        <v>no</v>
      </c>
      <c r="C10" t="s">
        <v>12</v>
      </c>
      <c r="D10" t="s">
        <v>11</v>
      </c>
      <c r="E10">
        <v>4</v>
      </c>
      <c r="F10">
        <v>2</v>
      </c>
      <c r="G10">
        <v>2</v>
      </c>
      <c r="H10">
        <v>1</v>
      </c>
      <c r="I10">
        <v>1</v>
      </c>
      <c r="J10">
        <v>1</v>
      </c>
      <c r="K10">
        <v>0</v>
      </c>
    </row>
    <row r="11" spans="1:11" x14ac:dyDescent="0.35">
      <c r="A11">
        <v>10</v>
      </c>
      <c r="B11" t="str">
        <f ca="1">IF(LOWER(LEFT(TRIM(tbl_Lifestyle[[#This Row],[activities]]),1))="y","yes","no")</f>
        <v>yes</v>
      </c>
      <c r="C11" t="s">
        <v>12</v>
      </c>
      <c r="D11" t="s">
        <v>11</v>
      </c>
      <c r="E11">
        <v>5</v>
      </c>
      <c r="F11">
        <v>5</v>
      </c>
      <c r="G11">
        <v>1</v>
      </c>
      <c r="H11">
        <v>1</v>
      </c>
      <c r="I11">
        <v>1</v>
      </c>
      <c r="J11">
        <v>5</v>
      </c>
      <c r="K11">
        <v>0</v>
      </c>
    </row>
    <row r="12" spans="1:11" x14ac:dyDescent="0.35">
      <c r="A12">
        <v>11</v>
      </c>
      <c r="B12" t="str">
        <f ca="1">IF(LOWER(LEFT(TRIM(tbl_Lifestyle[[#This Row],[activities]]),1))="y","yes","no")</f>
        <v>no</v>
      </c>
      <c r="C12" t="s">
        <v>12</v>
      </c>
      <c r="D12" t="s">
        <v>11</v>
      </c>
      <c r="E12">
        <v>3</v>
      </c>
      <c r="F12">
        <v>3</v>
      </c>
      <c r="G12">
        <v>3</v>
      </c>
      <c r="H12">
        <v>1</v>
      </c>
      <c r="I12">
        <v>2</v>
      </c>
      <c r="J12">
        <v>2</v>
      </c>
      <c r="K12">
        <v>0</v>
      </c>
    </row>
    <row r="13" spans="1:11" x14ac:dyDescent="0.35">
      <c r="A13">
        <v>12</v>
      </c>
      <c r="B13" t="str">
        <f ca="1">IF(LOWER(LEFT(TRIM(tbl_Lifestyle[[#This Row],[activities]]),1))="y","yes","no")</f>
        <v>yes</v>
      </c>
      <c r="C13" t="s">
        <v>12</v>
      </c>
      <c r="D13" t="s">
        <v>11</v>
      </c>
      <c r="E13">
        <v>5</v>
      </c>
      <c r="F13">
        <v>2</v>
      </c>
      <c r="G13">
        <v>2</v>
      </c>
      <c r="H13">
        <v>1</v>
      </c>
      <c r="I13">
        <v>1</v>
      </c>
      <c r="J13">
        <v>4</v>
      </c>
      <c r="K13">
        <v>4</v>
      </c>
    </row>
    <row r="14" spans="1:11" x14ac:dyDescent="0.35">
      <c r="A14">
        <v>13</v>
      </c>
      <c r="B14" t="str">
        <f ca="1">IF(LOWER(LEFT(TRIM(tbl_Lifestyle[[#This Row],[activities]]),1))="y","yes","no")</f>
        <v>yes</v>
      </c>
      <c r="C14" t="s">
        <v>12</v>
      </c>
      <c r="D14" t="s">
        <v>11</v>
      </c>
      <c r="E14">
        <v>4</v>
      </c>
      <c r="F14">
        <v>3</v>
      </c>
      <c r="G14">
        <v>3</v>
      </c>
      <c r="H14">
        <v>1</v>
      </c>
      <c r="I14">
        <v>3</v>
      </c>
      <c r="J14">
        <v>5</v>
      </c>
      <c r="K14">
        <v>2</v>
      </c>
    </row>
    <row r="15" spans="1:11" x14ac:dyDescent="0.35">
      <c r="A15">
        <v>14</v>
      </c>
      <c r="B15" t="str">
        <f ca="1">IF(LOWER(LEFT(TRIM(tbl_Lifestyle[[#This Row],[activities]]),1))="y","yes","no")</f>
        <v>no</v>
      </c>
      <c r="C15" t="s">
        <v>12</v>
      </c>
      <c r="D15" t="s">
        <v>11</v>
      </c>
      <c r="E15">
        <v>5</v>
      </c>
      <c r="F15">
        <v>4</v>
      </c>
      <c r="G15">
        <v>3</v>
      </c>
      <c r="H15">
        <v>1</v>
      </c>
      <c r="I15">
        <v>2</v>
      </c>
      <c r="J15">
        <v>3</v>
      </c>
      <c r="K15">
        <v>2</v>
      </c>
    </row>
    <row r="16" spans="1:11" x14ac:dyDescent="0.35">
      <c r="A16">
        <v>15</v>
      </c>
      <c r="B16" t="str">
        <f ca="1">IF(LOWER(LEFT(TRIM(tbl_Lifestyle[[#This Row],[activities]]),1))="y","yes","no")</f>
        <v>no</v>
      </c>
      <c r="C16" t="s">
        <v>12</v>
      </c>
      <c r="D16" t="s">
        <v>12</v>
      </c>
      <c r="E16">
        <v>4</v>
      </c>
      <c r="F16">
        <v>5</v>
      </c>
      <c r="G16">
        <v>2</v>
      </c>
      <c r="H16">
        <v>1</v>
      </c>
      <c r="I16">
        <v>1</v>
      </c>
      <c r="J16">
        <v>3</v>
      </c>
      <c r="K16">
        <v>0</v>
      </c>
    </row>
    <row r="17" spans="1:11" x14ac:dyDescent="0.35">
      <c r="A17">
        <v>16</v>
      </c>
      <c r="B17" t="str">
        <f ca="1">IF(LOWER(LEFT(TRIM(tbl_Lifestyle[[#This Row],[activities]]),1))="y","yes","no")</f>
        <v>no</v>
      </c>
      <c r="C17" t="s">
        <v>12</v>
      </c>
      <c r="D17" t="s">
        <v>11</v>
      </c>
      <c r="E17">
        <v>4</v>
      </c>
      <c r="F17">
        <v>4</v>
      </c>
      <c r="G17">
        <v>4</v>
      </c>
      <c r="H17">
        <v>1</v>
      </c>
      <c r="I17">
        <v>2</v>
      </c>
      <c r="J17">
        <v>2</v>
      </c>
      <c r="K17">
        <v>4</v>
      </c>
    </row>
    <row r="18" spans="1:11" x14ac:dyDescent="0.35">
      <c r="A18">
        <v>17</v>
      </c>
      <c r="B18" t="str">
        <f ca="1">IF(LOWER(LEFT(TRIM(tbl_Lifestyle[[#This Row],[activities]]),1))="y","yes","no")</f>
        <v>yes</v>
      </c>
      <c r="C18" t="s">
        <v>12</v>
      </c>
      <c r="D18" t="s">
        <v>11</v>
      </c>
      <c r="E18">
        <v>3</v>
      </c>
      <c r="F18">
        <v>2</v>
      </c>
      <c r="G18">
        <v>3</v>
      </c>
      <c r="H18">
        <v>1</v>
      </c>
      <c r="I18">
        <v>2</v>
      </c>
      <c r="J18">
        <v>2</v>
      </c>
      <c r="K18">
        <v>6</v>
      </c>
    </row>
    <row r="19" spans="1:11" x14ac:dyDescent="0.35">
      <c r="A19">
        <v>18</v>
      </c>
      <c r="B19" t="str">
        <f ca="1">IF(LOWER(LEFT(TRIM(tbl_Lifestyle[[#This Row],[activities]]),1))="y","yes","no")</f>
        <v>yes</v>
      </c>
      <c r="C19" t="s">
        <v>11</v>
      </c>
      <c r="D19" t="s">
        <v>11</v>
      </c>
      <c r="E19">
        <v>5</v>
      </c>
      <c r="F19">
        <v>3</v>
      </c>
      <c r="G19">
        <v>2</v>
      </c>
      <c r="H19">
        <v>1</v>
      </c>
      <c r="I19">
        <v>1</v>
      </c>
      <c r="J19">
        <v>4</v>
      </c>
      <c r="K19">
        <v>4</v>
      </c>
    </row>
    <row r="20" spans="1:11" x14ac:dyDescent="0.35">
      <c r="A20">
        <v>19</v>
      </c>
      <c r="B20" t="str">
        <f ca="1">IF(LOWER(LEFT(TRIM(tbl_Lifestyle[[#This Row],[activities]]),1))="y","yes","no")</f>
        <v>yes</v>
      </c>
      <c r="C20" t="s">
        <v>12</v>
      </c>
      <c r="D20" t="s">
        <v>11</v>
      </c>
      <c r="E20">
        <v>5</v>
      </c>
      <c r="F20">
        <v>5</v>
      </c>
      <c r="G20">
        <v>5</v>
      </c>
      <c r="H20">
        <v>2</v>
      </c>
      <c r="I20">
        <v>4</v>
      </c>
      <c r="J20">
        <v>5</v>
      </c>
      <c r="K20">
        <v>16</v>
      </c>
    </row>
    <row r="21" spans="1:11" x14ac:dyDescent="0.35">
      <c r="A21">
        <v>20</v>
      </c>
      <c r="B21" t="str">
        <f ca="1">IF(LOWER(LEFT(TRIM(tbl_Lifestyle[[#This Row],[activities]]),1))="y","yes","no")</f>
        <v>yes</v>
      </c>
      <c r="C21" t="s">
        <v>12</v>
      </c>
      <c r="D21" t="s">
        <v>11</v>
      </c>
      <c r="E21">
        <v>3</v>
      </c>
      <c r="F21">
        <v>1</v>
      </c>
      <c r="G21">
        <v>3</v>
      </c>
      <c r="H21">
        <v>1</v>
      </c>
      <c r="I21">
        <v>3</v>
      </c>
      <c r="J21">
        <v>5</v>
      </c>
      <c r="K21">
        <v>4</v>
      </c>
    </row>
    <row r="22" spans="1:11" x14ac:dyDescent="0.35">
      <c r="A22">
        <v>21</v>
      </c>
      <c r="B22" t="str">
        <f ca="1">IF(LOWER(LEFT(TRIM(tbl_Lifestyle[[#This Row],[activities]]),1))="y","yes","no")</f>
        <v>no</v>
      </c>
      <c r="C22" t="s">
        <v>12</v>
      </c>
      <c r="D22" t="s">
        <v>11</v>
      </c>
      <c r="E22">
        <v>4</v>
      </c>
      <c r="F22">
        <v>4</v>
      </c>
      <c r="G22">
        <v>1</v>
      </c>
      <c r="H22">
        <v>1</v>
      </c>
      <c r="I22">
        <v>1</v>
      </c>
      <c r="J22">
        <v>1</v>
      </c>
      <c r="K22">
        <v>0</v>
      </c>
    </row>
    <row r="23" spans="1:11" x14ac:dyDescent="0.35">
      <c r="A23">
        <v>22</v>
      </c>
      <c r="B23" t="str">
        <f ca="1">IF(LOWER(LEFT(TRIM(tbl_Lifestyle[[#This Row],[activities]]),1))="y","yes","no")</f>
        <v>no</v>
      </c>
      <c r="C23" t="s">
        <v>12</v>
      </c>
      <c r="D23" t="s">
        <v>11</v>
      </c>
      <c r="E23">
        <v>5</v>
      </c>
      <c r="F23">
        <v>4</v>
      </c>
      <c r="G23">
        <v>2</v>
      </c>
      <c r="H23">
        <v>1</v>
      </c>
      <c r="I23">
        <v>1</v>
      </c>
      <c r="J23">
        <v>5</v>
      </c>
      <c r="K23">
        <v>0</v>
      </c>
    </row>
    <row r="24" spans="1:11" x14ac:dyDescent="0.35">
      <c r="A24">
        <v>23</v>
      </c>
      <c r="B24" t="str">
        <f ca="1">IF(LOWER(LEFT(TRIM(tbl_Lifestyle[[#This Row],[activities]]),1))="y","yes","no")</f>
        <v>yes</v>
      </c>
      <c r="C24" t="s">
        <v>12</v>
      </c>
      <c r="D24" t="s">
        <v>11</v>
      </c>
      <c r="E24">
        <v>4</v>
      </c>
      <c r="F24">
        <v>5</v>
      </c>
      <c r="G24">
        <v>1</v>
      </c>
      <c r="H24">
        <v>1</v>
      </c>
      <c r="I24">
        <v>3</v>
      </c>
      <c r="J24">
        <v>5</v>
      </c>
      <c r="K24">
        <v>2</v>
      </c>
    </row>
    <row r="25" spans="1:11" x14ac:dyDescent="0.35">
      <c r="A25">
        <v>24</v>
      </c>
      <c r="B25" t="str">
        <f ca="1">IF(LOWER(LEFT(TRIM(tbl_Lifestyle[[#This Row],[activities]]),1))="y","yes","no")</f>
        <v>yes</v>
      </c>
      <c r="C25" t="s">
        <v>12</v>
      </c>
      <c r="D25" t="s">
        <v>11</v>
      </c>
      <c r="E25">
        <v>5</v>
      </c>
      <c r="F25">
        <v>4</v>
      </c>
      <c r="G25">
        <v>4</v>
      </c>
      <c r="H25">
        <v>2</v>
      </c>
      <c r="I25">
        <v>4</v>
      </c>
      <c r="J25">
        <v>5</v>
      </c>
      <c r="K25">
        <v>0</v>
      </c>
    </row>
    <row r="26" spans="1:11" x14ac:dyDescent="0.35">
      <c r="A26">
        <v>25</v>
      </c>
      <c r="B26" t="str">
        <f ca="1">IF(LOWER(LEFT(TRIM(tbl_Lifestyle[[#This Row],[activities]]),1))="y","yes","no")</f>
        <v>yes</v>
      </c>
      <c r="C26" t="s">
        <v>12</v>
      </c>
      <c r="D26" t="s">
        <v>11</v>
      </c>
      <c r="E26">
        <v>4</v>
      </c>
      <c r="F26">
        <v>3</v>
      </c>
      <c r="G26">
        <v>2</v>
      </c>
      <c r="H26">
        <v>1</v>
      </c>
      <c r="I26">
        <v>1</v>
      </c>
      <c r="J26">
        <v>5</v>
      </c>
      <c r="K26">
        <v>2</v>
      </c>
    </row>
    <row r="27" spans="1:11" x14ac:dyDescent="0.35">
      <c r="A27">
        <v>26</v>
      </c>
      <c r="B27" t="str">
        <f ca="1">IF(LOWER(LEFT(TRIM(tbl_Lifestyle[[#This Row],[activities]]),1))="y","yes","no")</f>
        <v>no</v>
      </c>
      <c r="C27" t="s">
        <v>12</v>
      </c>
      <c r="D27" t="s">
        <v>11</v>
      </c>
      <c r="E27">
        <v>1</v>
      </c>
      <c r="F27">
        <v>2</v>
      </c>
      <c r="G27">
        <v>2</v>
      </c>
      <c r="H27">
        <v>1</v>
      </c>
      <c r="I27">
        <v>3</v>
      </c>
      <c r="J27">
        <v>5</v>
      </c>
      <c r="K27">
        <v>14</v>
      </c>
    </row>
    <row r="28" spans="1:11" x14ac:dyDescent="0.35">
      <c r="A28">
        <v>27</v>
      </c>
      <c r="B28" t="str">
        <f ca="1">IF(LOWER(LEFT(TRIM(tbl_Lifestyle[[#This Row],[activities]]),1))="y","yes","no")</f>
        <v>no</v>
      </c>
      <c r="C28" t="s">
        <v>12</v>
      </c>
      <c r="D28" t="s">
        <v>11</v>
      </c>
      <c r="E28">
        <v>4</v>
      </c>
      <c r="F28">
        <v>2</v>
      </c>
      <c r="G28">
        <v>2</v>
      </c>
      <c r="H28">
        <v>1</v>
      </c>
      <c r="I28">
        <v>2</v>
      </c>
      <c r="J28">
        <v>5</v>
      </c>
      <c r="K28">
        <v>2</v>
      </c>
    </row>
    <row r="29" spans="1:11" x14ac:dyDescent="0.35">
      <c r="A29">
        <v>28</v>
      </c>
      <c r="B29" t="str">
        <f ca="1">IF(LOWER(LEFT(TRIM(tbl_Lifestyle[[#This Row],[activities]]),1))="y","yes","no")</f>
        <v>no</v>
      </c>
      <c r="C29" t="s">
        <v>12</v>
      </c>
      <c r="D29" t="s">
        <v>11</v>
      </c>
      <c r="E29">
        <v>2</v>
      </c>
      <c r="F29">
        <v>2</v>
      </c>
      <c r="G29">
        <v>4</v>
      </c>
      <c r="H29">
        <v>2</v>
      </c>
      <c r="I29">
        <v>4</v>
      </c>
      <c r="J29">
        <v>1</v>
      </c>
      <c r="K29">
        <v>4</v>
      </c>
    </row>
    <row r="30" spans="1:11" x14ac:dyDescent="0.35">
      <c r="A30">
        <v>29</v>
      </c>
      <c r="B30" t="str">
        <f ca="1">IF(LOWER(LEFT(TRIM(tbl_Lifestyle[[#This Row],[activities]]),1))="y","yes","no")</f>
        <v>yes</v>
      </c>
      <c r="C30" t="s">
        <v>12</v>
      </c>
      <c r="D30" t="s">
        <v>11</v>
      </c>
      <c r="E30">
        <v>5</v>
      </c>
      <c r="F30">
        <v>3</v>
      </c>
      <c r="G30">
        <v>3</v>
      </c>
      <c r="H30">
        <v>1</v>
      </c>
      <c r="I30">
        <v>1</v>
      </c>
      <c r="J30">
        <v>5</v>
      </c>
      <c r="K30">
        <v>4</v>
      </c>
    </row>
    <row r="31" spans="1:11" x14ac:dyDescent="0.35">
      <c r="A31">
        <v>30</v>
      </c>
      <c r="B31" t="str">
        <f ca="1">IF(LOWER(LEFT(TRIM(tbl_Lifestyle[[#This Row],[activities]]),1))="y","yes","no")</f>
        <v>yes</v>
      </c>
      <c r="C31" t="s">
        <v>12</v>
      </c>
      <c r="D31" t="s">
        <v>12</v>
      </c>
      <c r="E31">
        <v>4</v>
      </c>
      <c r="F31">
        <v>4</v>
      </c>
      <c r="G31">
        <v>5</v>
      </c>
      <c r="H31">
        <v>5</v>
      </c>
      <c r="I31">
        <v>5</v>
      </c>
      <c r="J31">
        <v>5</v>
      </c>
      <c r="K31">
        <v>16</v>
      </c>
    </row>
    <row r="32" spans="1:11" x14ac:dyDescent="0.35">
      <c r="A32">
        <v>31</v>
      </c>
      <c r="B32" t="str">
        <f ca="1">IF(LOWER(LEFT(TRIM(tbl_Lifestyle[[#This Row],[activities]]),1))="y","yes","no")</f>
        <v>no</v>
      </c>
      <c r="C32" t="s">
        <v>12</v>
      </c>
      <c r="D32" t="s">
        <v>11</v>
      </c>
      <c r="E32">
        <v>5</v>
      </c>
      <c r="F32">
        <v>4</v>
      </c>
      <c r="G32">
        <v>2</v>
      </c>
      <c r="H32">
        <v>3</v>
      </c>
      <c r="I32">
        <v>4</v>
      </c>
      <c r="J32">
        <v>5</v>
      </c>
      <c r="K32">
        <v>0</v>
      </c>
    </row>
    <row r="33" spans="1:11" x14ac:dyDescent="0.35">
      <c r="A33">
        <v>32</v>
      </c>
      <c r="B33" t="str">
        <f ca="1">IF(LOWER(LEFT(TRIM(tbl_Lifestyle[[#This Row],[activities]]),1))="y","yes","no")</f>
        <v>yes</v>
      </c>
      <c r="C33" t="s">
        <v>12</v>
      </c>
      <c r="D33" t="s">
        <v>11</v>
      </c>
      <c r="E33">
        <v>4</v>
      </c>
      <c r="F33">
        <v>3</v>
      </c>
      <c r="G33">
        <v>1</v>
      </c>
      <c r="H33">
        <v>1</v>
      </c>
      <c r="I33">
        <v>1</v>
      </c>
      <c r="J33">
        <v>5</v>
      </c>
      <c r="K33">
        <v>0</v>
      </c>
    </row>
    <row r="34" spans="1:11" x14ac:dyDescent="0.35">
      <c r="A34">
        <v>33</v>
      </c>
      <c r="B34" t="str">
        <f ca="1">IF(LOWER(LEFT(TRIM(tbl_Lifestyle[[#This Row],[activities]]),1))="y","yes","no")</f>
        <v>yes</v>
      </c>
      <c r="C34" t="s">
        <v>12</v>
      </c>
      <c r="D34" t="s">
        <v>12</v>
      </c>
      <c r="E34">
        <v>4</v>
      </c>
      <c r="F34">
        <v>5</v>
      </c>
      <c r="G34">
        <v>2</v>
      </c>
      <c r="H34">
        <v>1</v>
      </c>
      <c r="I34">
        <v>1</v>
      </c>
      <c r="J34">
        <v>5</v>
      </c>
      <c r="K34">
        <v>0</v>
      </c>
    </row>
    <row r="35" spans="1:11" x14ac:dyDescent="0.35">
      <c r="A35">
        <v>34</v>
      </c>
      <c r="B35" t="str">
        <f ca="1">IF(LOWER(LEFT(TRIM(tbl_Lifestyle[[#This Row],[activities]]),1))="y","yes","no")</f>
        <v>yes</v>
      </c>
      <c r="C35" t="s">
        <v>12</v>
      </c>
      <c r="D35" t="s">
        <v>11</v>
      </c>
      <c r="E35">
        <v>5</v>
      </c>
      <c r="F35">
        <v>3</v>
      </c>
      <c r="G35">
        <v>2</v>
      </c>
      <c r="H35">
        <v>1</v>
      </c>
      <c r="I35">
        <v>1</v>
      </c>
      <c r="J35">
        <v>2</v>
      </c>
      <c r="K35">
        <v>0</v>
      </c>
    </row>
    <row r="36" spans="1:11" x14ac:dyDescent="0.35">
      <c r="A36">
        <v>35</v>
      </c>
      <c r="B36" t="str">
        <f ca="1">IF(LOWER(LEFT(TRIM(tbl_Lifestyle[[#This Row],[activities]]),1))="y","yes","no")</f>
        <v>no</v>
      </c>
      <c r="C36" t="s">
        <v>12</v>
      </c>
      <c r="D36" t="s">
        <v>11</v>
      </c>
      <c r="E36">
        <v>5</v>
      </c>
      <c r="F36">
        <v>4</v>
      </c>
      <c r="G36">
        <v>3</v>
      </c>
      <c r="H36">
        <v>1</v>
      </c>
      <c r="I36">
        <v>1</v>
      </c>
      <c r="J36">
        <v>5</v>
      </c>
      <c r="K36">
        <v>0</v>
      </c>
    </row>
    <row r="37" spans="1:11" x14ac:dyDescent="0.35">
      <c r="A37">
        <v>36</v>
      </c>
      <c r="B37" t="str">
        <f ca="1">IF(LOWER(LEFT(TRIM(tbl_Lifestyle[[#This Row],[activities]]),1))="y","yes","no")</f>
        <v>yes</v>
      </c>
      <c r="C37" t="s">
        <v>11</v>
      </c>
      <c r="D37" t="s">
        <v>11</v>
      </c>
      <c r="E37">
        <v>3</v>
      </c>
      <c r="F37">
        <v>5</v>
      </c>
      <c r="G37">
        <v>1</v>
      </c>
      <c r="H37">
        <v>1</v>
      </c>
      <c r="I37">
        <v>1</v>
      </c>
      <c r="J37">
        <v>5</v>
      </c>
      <c r="K37">
        <v>0</v>
      </c>
    </row>
    <row r="38" spans="1:11" x14ac:dyDescent="0.35">
      <c r="A38">
        <v>37</v>
      </c>
      <c r="B38" t="str">
        <f ca="1">IF(LOWER(LEFT(TRIM(tbl_Lifestyle[[#This Row],[activities]]),1))="y","yes","no")</f>
        <v>yes</v>
      </c>
      <c r="C38" t="s">
        <v>12</v>
      </c>
      <c r="D38" t="s">
        <v>11</v>
      </c>
      <c r="E38">
        <v>5</v>
      </c>
      <c r="F38">
        <v>4</v>
      </c>
      <c r="G38">
        <v>3</v>
      </c>
      <c r="H38">
        <v>1</v>
      </c>
      <c r="I38">
        <v>1</v>
      </c>
      <c r="J38">
        <v>4</v>
      </c>
      <c r="K38">
        <v>2</v>
      </c>
    </row>
    <row r="39" spans="1:11" x14ac:dyDescent="0.35">
      <c r="A39">
        <v>38</v>
      </c>
      <c r="B39" t="str">
        <f ca="1">IF(LOWER(LEFT(TRIM(tbl_Lifestyle[[#This Row],[activities]]),1))="y","yes","no")</f>
        <v>yes</v>
      </c>
      <c r="C39" t="s">
        <v>12</v>
      </c>
      <c r="D39" t="s">
        <v>12</v>
      </c>
      <c r="E39">
        <v>2</v>
      </c>
      <c r="F39">
        <v>4</v>
      </c>
      <c r="G39">
        <v>3</v>
      </c>
      <c r="H39">
        <v>1</v>
      </c>
      <c r="I39">
        <v>1</v>
      </c>
      <c r="J39">
        <v>5</v>
      </c>
      <c r="K39">
        <v>7</v>
      </c>
    </row>
    <row r="40" spans="1:11" x14ac:dyDescent="0.35">
      <c r="A40">
        <v>39</v>
      </c>
      <c r="B40" t="str">
        <f ca="1">IF(LOWER(LEFT(TRIM(tbl_Lifestyle[[#This Row],[activities]]),1))="y","yes","no")</f>
        <v>yes</v>
      </c>
      <c r="C40" t="s">
        <v>12</v>
      </c>
      <c r="D40" t="s">
        <v>11</v>
      </c>
      <c r="E40">
        <v>4</v>
      </c>
      <c r="F40">
        <v>3</v>
      </c>
      <c r="G40">
        <v>2</v>
      </c>
      <c r="H40">
        <v>1</v>
      </c>
      <c r="I40">
        <v>1</v>
      </c>
      <c r="J40">
        <v>5</v>
      </c>
      <c r="K40">
        <v>2</v>
      </c>
    </row>
    <row r="41" spans="1:11" x14ac:dyDescent="0.35">
      <c r="A41">
        <v>40</v>
      </c>
      <c r="B41" t="str">
        <f ca="1">IF(LOWER(LEFT(TRIM(tbl_Lifestyle[[#This Row],[activities]]),1))="y","yes","no")</f>
        <v>yes</v>
      </c>
      <c r="C41" t="s">
        <v>11</v>
      </c>
      <c r="D41" t="s">
        <v>11</v>
      </c>
      <c r="E41">
        <v>4</v>
      </c>
      <c r="F41">
        <v>3</v>
      </c>
      <c r="G41">
        <v>1</v>
      </c>
      <c r="H41">
        <v>1</v>
      </c>
      <c r="I41">
        <v>1</v>
      </c>
      <c r="J41">
        <v>2</v>
      </c>
      <c r="K41">
        <v>8</v>
      </c>
    </row>
    <row r="42" spans="1:11" x14ac:dyDescent="0.35">
      <c r="A42">
        <v>41</v>
      </c>
      <c r="B42" t="str">
        <f ca="1">IF(LOWER(LEFT(TRIM(tbl_Lifestyle[[#This Row],[activities]]),1))="y","yes","no")</f>
        <v>yes</v>
      </c>
      <c r="C42" t="s">
        <v>12</v>
      </c>
      <c r="D42" t="s">
        <v>12</v>
      </c>
      <c r="E42">
        <v>3</v>
      </c>
      <c r="F42">
        <v>3</v>
      </c>
      <c r="G42">
        <v>3</v>
      </c>
      <c r="H42">
        <v>1</v>
      </c>
      <c r="I42">
        <v>2</v>
      </c>
      <c r="J42">
        <v>3</v>
      </c>
      <c r="K42">
        <v>25</v>
      </c>
    </row>
    <row r="43" spans="1:11" x14ac:dyDescent="0.35">
      <c r="A43">
        <v>42</v>
      </c>
      <c r="B43" t="str">
        <f ca="1">IF(LOWER(LEFT(TRIM(tbl_Lifestyle[[#This Row],[activities]]),1))="y","yes","no")</f>
        <v>no</v>
      </c>
      <c r="C43" t="s">
        <v>12</v>
      </c>
      <c r="D43" t="s">
        <v>12</v>
      </c>
      <c r="E43">
        <v>5</v>
      </c>
      <c r="F43">
        <v>4</v>
      </c>
      <c r="G43">
        <v>3</v>
      </c>
      <c r="H43">
        <v>2</v>
      </c>
      <c r="I43">
        <v>4</v>
      </c>
      <c r="J43">
        <v>5</v>
      </c>
      <c r="K43">
        <v>8</v>
      </c>
    </row>
    <row r="44" spans="1:11" x14ac:dyDescent="0.35">
      <c r="A44">
        <v>43</v>
      </c>
      <c r="B44" t="str">
        <f ca="1">IF(LOWER(LEFT(TRIM(tbl_Lifestyle[[#This Row],[activities]]),1))="y","yes","no")</f>
        <v>yes</v>
      </c>
      <c r="C44" t="s">
        <v>12</v>
      </c>
      <c r="D44" t="s">
        <v>11</v>
      </c>
      <c r="E44">
        <v>4</v>
      </c>
      <c r="F44">
        <v>3</v>
      </c>
      <c r="G44">
        <v>3</v>
      </c>
      <c r="H44">
        <v>1</v>
      </c>
      <c r="I44">
        <v>1</v>
      </c>
      <c r="J44">
        <v>5</v>
      </c>
      <c r="K44">
        <v>2</v>
      </c>
    </row>
    <row r="45" spans="1:11" x14ac:dyDescent="0.35">
      <c r="A45">
        <v>44</v>
      </c>
      <c r="B45" t="str">
        <f ca="1">IF(LOWER(LEFT(TRIM(tbl_Lifestyle[[#This Row],[activities]]),1))="y","yes","no")</f>
        <v>no</v>
      </c>
      <c r="C45" t="s">
        <v>12</v>
      </c>
      <c r="D45" t="s">
        <v>11</v>
      </c>
      <c r="E45">
        <v>5</v>
      </c>
      <c r="F45">
        <v>4</v>
      </c>
      <c r="G45">
        <v>1</v>
      </c>
      <c r="H45">
        <v>1</v>
      </c>
      <c r="I45">
        <v>1</v>
      </c>
      <c r="J45">
        <v>1</v>
      </c>
      <c r="K45">
        <v>0</v>
      </c>
    </row>
    <row r="46" spans="1:11" x14ac:dyDescent="0.35">
      <c r="A46">
        <v>45</v>
      </c>
      <c r="B46" t="str">
        <f ca="1">IF(LOWER(LEFT(TRIM(tbl_Lifestyle[[#This Row],[activities]]),1))="y","yes","no")</f>
        <v>yes</v>
      </c>
      <c r="C46" t="s">
        <v>12</v>
      </c>
      <c r="D46" t="s">
        <v>11</v>
      </c>
      <c r="E46">
        <v>4</v>
      </c>
      <c r="F46">
        <v>3</v>
      </c>
      <c r="G46">
        <v>3</v>
      </c>
      <c r="H46">
        <v>2</v>
      </c>
      <c r="I46">
        <v>2</v>
      </c>
      <c r="J46">
        <v>5</v>
      </c>
      <c r="K46">
        <v>14</v>
      </c>
    </row>
    <row r="47" spans="1:11" x14ac:dyDescent="0.35">
      <c r="A47">
        <v>46</v>
      </c>
      <c r="B47" t="str">
        <f ca="1">IF(LOWER(LEFT(TRIM(tbl_Lifestyle[[#This Row],[activities]]),1))="y","yes","no")</f>
        <v>yes</v>
      </c>
      <c r="C47" t="s">
        <v>12</v>
      </c>
      <c r="D47" t="s">
        <v>12</v>
      </c>
      <c r="E47">
        <v>5</v>
      </c>
      <c r="F47">
        <v>2</v>
      </c>
      <c r="G47">
        <v>2</v>
      </c>
      <c r="H47">
        <v>1</v>
      </c>
      <c r="I47">
        <v>1</v>
      </c>
      <c r="J47">
        <v>5</v>
      </c>
      <c r="K47">
        <v>8</v>
      </c>
    </row>
    <row r="48" spans="1:11" x14ac:dyDescent="0.35">
      <c r="A48">
        <v>47</v>
      </c>
      <c r="B48" t="str">
        <f ca="1">IF(LOWER(LEFT(TRIM(tbl_Lifestyle[[#This Row],[activities]]),1))="y","yes","no")</f>
        <v>no</v>
      </c>
      <c r="C48" t="s">
        <v>12</v>
      </c>
      <c r="D48" t="s">
        <v>11</v>
      </c>
      <c r="E48">
        <v>2</v>
      </c>
      <c r="F48">
        <v>3</v>
      </c>
      <c r="G48">
        <v>5</v>
      </c>
      <c r="H48">
        <v>1</v>
      </c>
      <c r="I48">
        <v>4</v>
      </c>
      <c r="J48">
        <v>3</v>
      </c>
      <c r="K48">
        <v>12</v>
      </c>
    </row>
    <row r="49" spans="1:11" x14ac:dyDescent="0.35">
      <c r="A49">
        <v>48</v>
      </c>
      <c r="B49" t="str">
        <f ca="1">IF(LOWER(LEFT(TRIM(tbl_Lifestyle[[#This Row],[activities]]),1))="y","yes","no")</f>
        <v>yes</v>
      </c>
      <c r="C49" t="s">
        <v>12</v>
      </c>
      <c r="D49" t="s">
        <v>11</v>
      </c>
      <c r="E49">
        <v>4</v>
      </c>
      <c r="F49">
        <v>2</v>
      </c>
      <c r="G49">
        <v>2</v>
      </c>
      <c r="H49">
        <v>1</v>
      </c>
      <c r="I49">
        <v>1</v>
      </c>
      <c r="J49">
        <v>2</v>
      </c>
      <c r="K49">
        <v>4</v>
      </c>
    </row>
    <row r="50" spans="1:11" x14ac:dyDescent="0.35">
      <c r="A50">
        <v>49</v>
      </c>
      <c r="B50" t="str">
        <f ca="1">IF(LOWER(LEFT(TRIM(tbl_Lifestyle[[#This Row],[activities]]),1))="y","yes","no")</f>
        <v>no</v>
      </c>
      <c r="C50" t="s">
        <v>11</v>
      </c>
      <c r="D50" t="s">
        <v>11</v>
      </c>
      <c r="E50">
        <v>4</v>
      </c>
      <c r="F50">
        <v>3</v>
      </c>
      <c r="G50">
        <v>3</v>
      </c>
      <c r="H50">
        <v>2</v>
      </c>
      <c r="I50">
        <v>2</v>
      </c>
      <c r="J50">
        <v>5</v>
      </c>
      <c r="K50">
        <v>2</v>
      </c>
    </row>
    <row r="51" spans="1:11" x14ac:dyDescent="0.35">
      <c r="A51">
        <v>50</v>
      </c>
      <c r="B51" t="str">
        <f ca="1">IF(LOWER(LEFT(TRIM(tbl_Lifestyle[[#This Row],[activities]]),1))="y","yes","no")</f>
        <v>yes</v>
      </c>
      <c r="C51" t="s">
        <v>12</v>
      </c>
      <c r="D51" t="s">
        <v>11</v>
      </c>
      <c r="E51">
        <v>4</v>
      </c>
      <c r="F51">
        <v>4</v>
      </c>
      <c r="G51">
        <v>4</v>
      </c>
      <c r="H51">
        <v>1</v>
      </c>
      <c r="I51">
        <v>1</v>
      </c>
      <c r="J51">
        <v>3</v>
      </c>
      <c r="K51">
        <v>2</v>
      </c>
    </row>
    <row r="52" spans="1:11" x14ac:dyDescent="0.35">
      <c r="A52">
        <v>51</v>
      </c>
      <c r="B52" t="str">
        <f ca="1">IF(LOWER(LEFT(TRIM(tbl_Lifestyle[[#This Row],[activities]]),1))="y","yes","no")</f>
        <v>no</v>
      </c>
      <c r="C52" t="s">
        <v>12</v>
      </c>
      <c r="D52" t="s">
        <v>11</v>
      </c>
      <c r="E52">
        <v>4</v>
      </c>
      <c r="F52">
        <v>3</v>
      </c>
      <c r="G52">
        <v>3</v>
      </c>
      <c r="H52">
        <v>2</v>
      </c>
      <c r="I52">
        <v>3</v>
      </c>
      <c r="J52">
        <v>4</v>
      </c>
      <c r="K52">
        <v>2</v>
      </c>
    </row>
    <row r="53" spans="1:11" x14ac:dyDescent="0.35">
      <c r="A53">
        <v>52</v>
      </c>
      <c r="B53" t="str">
        <f ca="1">IF(LOWER(LEFT(TRIM(tbl_Lifestyle[[#This Row],[activities]]),1))="y","yes","no")</f>
        <v>no</v>
      </c>
      <c r="C53" t="s">
        <v>12</v>
      </c>
      <c r="D53" t="s">
        <v>11</v>
      </c>
      <c r="E53">
        <v>4</v>
      </c>
      <c r="F53">
        <v>3</v>
      </c>
      <c r="G53">
        <v>3</v>
      </c>
      <c r="H53">
        <v>1</v>
      </c>
      <c r="I53">
        <v>1</v>
      </c>
      <c r="J53">
        <v>5</v>
      </c>
      <c r="K53">
        <v>2</v>
      </c>
    </row>
    <row r="54" spans="1:11" x14ac:dyDescent="0.35">
      <c r="A54">
        <v>53</v>
      </c>
      <c r="B54" t="str">
        <f ca="1">IF(LOWER(LEFT(TRIM(tbl_Lifestyle[[#This Row],[activities]]),1))="y","yes","no")</f>
        <v>no</v>
      </c>
      <c r="C54" t="s">
        <v>11</v>
      </c>
      <c r="D54" t="s">
        <v>11</v>
      </c>
      <c r="E54">
        <v>5</v>
      </c>
      <c r="F54">
        <v>5</v>
      </c>
      <c r="G54">
        <v>5</v>
      </c>
      <c r="H54">
        <v>3</v>
      </c>
      <c r="I54">
        <v>4</v>
      </c>
      <c r="J54">
        <v>5</v>
      </c>
      <c r="K54">
        <v>6</v>
      </c>
    </row>
    <row r="55" spans="1:11" x14ac:dyDescent="0.35">
      <c r="A55">
        <v>54</v>
      </c>
      <c r="B55" t="str">
        <f ca="1">IF(LOWER(LEFT(TRIM(tbl_Lifestyle[[#This Row],[activities]]),1))="y","yes","no")</f>
        <v>no</v>
      </c>
      <c r="C55" t="s">
        <v>12</v>
      </c>
      <c r="D55" t="s">
        <v>11</v>
      </c>
      <c r="E55">
        <v>3</v>
      </c>
      <c r="F55">
        <v>3</v>
      </c>
      <c r="G55">
        <v>4</v>
      </c>
      <c r="H55">
        <v>2</v>
      </c>
      <c r="I55">
        <v>3</v>
      </c>
      <c r="J55">
        <v>5</v>
      </c>
      <c r="K55">
        <v>0</v>
      </c>
    </row>
    <row r="56" spans="1:11" x14ac:dyDescent="0.35">
      <c r="A56">
        <v>55</v>
      </c>
      <c r="B56" t="str">
        <f ca="1">IF(LOWER(LEFT(TRIM(tbl_Lifestyle[[#This Row],[activities]]),1))="y","yes","no")</f>
        <v>no</v>
      </c>
      <c r="C56" t="s">
        <v>12</v>
      </c>
      <c r="D56" t="s">
        <v>11</v>
      </c>
      <c r="E56">
        <v>5</v>
      </c>
      <c r="F56">
        <v>3</v>
      </c>
      <c r="G56">
        <v>4</v>
      </c>
      <c r="H56">
        <v>4</v>
      </c>
      <c r="I56">
        <v>4</v>
      </c>
      <c r="J56">
        <v>1</v>
      </c>
      <c r="K56">
        <v>6</v>
      </c>
    </row>
    <row r="57" spans="1:11" x14ac:dyDescent="0.35">
      <c r="A57">
        <v>56</v>
      </c>
      <c r="B57" t="str">
        <f ca="1">IF(LOWER(LEFT(TRIM(tbl_Lifestyle[[#This Row],[activities]]),1))="y","yes","no")</f>
        <v>yes</v>
      </c>
      <c r="C57" t="s">
        <v>12</v>
      </c>
      <c r="D57" t="s">
        <v>12</v>
      </c>
      <c r="E57">
        <v>5</v>
      </c>
      <c r="F57">
        <v>3</v>
      </c>
      <c r="G57">
        <v>4</v>
      </c>
      <c r="H57">
        <v>1</v>
      </c>
      <c r="I57">
        <v>1</v>
      </c>
      <c r="J57">
        <v>2</v>
      </c>
      <c r="K57">
        <v>8</v>
      </c>
    </row>
    <row r="58" spans="1:11" x14ac:dyDescent="0.35">
      <c r="A58">
        <v>57</v>
      </c>
      <c r="B58" t="str">
        <f ca="1">IF(LOWER(LEFT(TRIM(tbl_Lifestyle[[#This Row],[activities]]),1))="y","yes","no")</f>
        <v>yes</v>
      </c>
      <c r="C58" t="s">
        <v>12</v>
      </c>
      <c r="D58" t="s">
        <v>11</v>
      </c>
      <c r="E58">
        <v>4</v>
      </c>
      <c r="F58">
        <v>3</v>
      </c>
      <c r="G58">
        <v>2</v>
      </c>
      <c r="H58">
        <v>1</v>
      </c>
      <c r="I58">
        <v>1</v>
      </c>
      <c r="J58">
        <v>1</v>
      </c>
      <c r="K58">
        <v>0</v>
      </c>
    </row>
    <row r="59" spans="1:11" x14ac:dyDescent="0.35">
      <c r="A59">
        <v>58</v>
      </c>
      <c r="B59" t="str">
        <f ca="1">IF(LOWER(LEFT(TRIM(tbl_Lifestyle[[#This Row],[activities]]),1))="y","yes","no")</f>
        <v>yes</v>
      </c>
      <c r="C59" t="s">
        <v>11</v>
      </c>
      <c r="D59" t="s">
        <v>11</v>
      </c>
      <c r="E59">
        <v>3</v>
      </c>
      <c r="F59">
        <v>2</v>
      </c>
      <c r="G59">
        <v>2</v>
      </c>
      <c r="H59">
        <v>1</v>
      </c>
      <c r="I59">
        <v>1</v>
      </c>
      <c r="J59">
        <v>5</v>
      </c>
      <c r="K59">
        <v>4</v>
      </c>
    </row>
    <row r="60" spans="1:11" x14ac:dyDescent="0.35">
      <c r="A60">
        <v>59</v>
      </c>
      <c r="B60" t="str">
        <f ca="1">IF(LOWER(LEFT(TRIM(tbl_Lifestyle[[#This Row],[activities]]),1))="y","yes","no")</f>
        <v>yes</v>
      </c>
      <c r="C60" t="s">
        <v>12</v>
      </c>
      <c r="D60" t="s">
        <v>11</v>
      </c>
      <c r="E60">
        <v>4</v>
      </c>
      <c r="F60">
        <v>3</v>
      </c>
      <c r="G60">
        <v>2</v>
      </c>
      <c r="H60">
        <v>1</v>
      </c>
      <c r="I60">
        <v>1</v>
      </c>
      <c r="J60">
        <v>4</v>
      </c>
      <c r="K60">
        <v>2</v>
      </c>
    </row>
    <row r="61" spans="1:11" x14ac:dyDescent="0.35">
      <c r="A61">
        <v>60</v>
      </c>
      <c r="B61" t="str">
        <f ca="1">IF(LOWER(LEFT(TRIM(tbl_Lifestyle[[#This Row],[activities]]),1))="y","yes","no")</f>
        <v>no</v>
      </c>
      <c r="C61" t="s">
        <v>12</v>
      </c>
      <c r="D61" t="s">
        <v>11</v>
      </c>
      <c r="E61">
        <v>4</v>
      </c>
      <c r="F61">
        <v>2</v>
      </c>
      <c r="G61">
        <v>3</v>
      </c>
      <c r="H61">
        <v>1</v>
      </c>
      <c r="I61">
        <v>1</v>
      </c>
      <c r="J61">
        <v>5</v>
      </c>
      <c r="K61">
        <v>2</v>
      </c>
    </row>
    <row r="62" spans="1:11" x14ac:dyDescent="0.35">
      <c r="A62">
        <v>61</v>
      </c>
      <c r="B62" t="str">
        <f ca="1">IF(LOWER(LEFT(TRIM(tbl_Lifestyle[[#This Row],[activities]]),1))="y","yes","no")</f>
        <v>yes</v>
      </c>
      <c r="C62" t="s">
        <v>11</v>
      </c>
      <c r="D62" t="s">
        <v>11</v>
      </c>
      <c r="E62">
        <v>2</v>
      </c>
      <c r="F62">
        <v>4</v>
      </c>
      <c r="G62">
        <v>4</v>
      </c>
      <c r="H62">
        <v>2</v>
      </c>
      <c r="I62">
        <v>3</v>
      </c>
      <c r="J62">
        <v>4</v>
      </c>
      <c r="K62">
        <v>6</v>
      </c>
    </row>
    <row r="63" spans="1:11" x14ac:dyDescent="0.35">
      <c r="A63">
        <v>62</v>
      </c>
      <c r="B63" t="str">
        <f ca="1">IF(LOWER(LEFT(TRIM(tbl_Lifestyle[[#This Row],[activities]]),1))="y","yes","no")</f>
        <v>yes</v>
      </c>
      <c r="C63" t="s">
        <v>12</v>
      </c>
      <c r="D63" t="s">
        <v>12</v>
      </c>
      <c r="E63">
        <v>5</v>
      </c>
      <c r="F63">
        <v>5</v>
      </c>
      <c r="G63">
        <v>5</v>
      </c>
      <c r="H63">
        <v>5</v>
      </c>
      <c r="I63">
        <v>5</v>
      </c>
      <c r="J63">
        <v>5</v>
      </c>
      <c r="K63">
        <v>6</v>
      </c>
    </row>
    <row r="64" spans="1:11" x14ac:dyDescent="0.35">
      <c r="A64">
        <v>63</v>
      </c>
      <c r="B64" t="str">
        <f ca="1">IF(LOWER(LEFT(TRIM(tbl_Lifestyle[[#This Row],[activities]]),1))="y","yes","no")</f>
        <v>yes</v>
      </c>
      <c r="C64" t="s">
        <v>12</v>
      </c>
      <c r="D64" t="s">
        <v>11</v>
      </c>
      <c r="E64">
        <v>4</v>
      </c>
      <c r="F64">
        <v>4</v>
      </c>
      <c r="G64">
        <v>3</v>
      </c>
      <c r="H64">
        <v>1</v>
      </c>
      <c r="I64">
        <v>1</v>
      </c>
      <c r="J64">
        <v>1</v>
      </c>
      <c r="K64">
        <v>4</v>
      </c>
    </row>
    <row r="65" spans="1:11" x14ac:dyDescent="0.35">
      <c r="A65">
        <v>64</v>
      </c>
      <c r="B65" t="str">
        <f ca="1">IF(LOWER(LEFT(TRIM(tbl_Lifestyle[[#This Row],[activities]]),1))="y","yes","no")</f>
        <v>yes</v>
      </c>
      <c r="C65" t="s">
        <v>12</v>
      </c>
      <c r="D65" t="s">
        <v>11</v>
      </c>
      <c r="E65">
        <v>3</v>
      </c>
      <c r="F65">
        <v>4</v>
      </c>
      <c r="G65">
        <v>4</v>
      </c>
      <c r="H65">
        <v>2</v>
      </c>
      <c r="I65">
        <v>4</v>
      </c>
      <c r="J65">
        <v>4</v>
      </c>
      <c r="K65">
        <v>2</v>
      </c>
    </row>
    <row r="66" spans="1:11" x14ac:dyDescent="0.35">
      <c r="A66">
        <v>65</v>
      </c>
      <c r="B66" t="str">
        <f ca="1">IF(LOWER(LEFT(TRIM(tbl_Lifestyle[[#This Row],[activities]]),1))="y","yes","no")</f>
        <v>yes</v>
      </c>
      <c r="C66" t="s">
        <v>12</v>
      </c>
      <c r="D66" t="s">
        <v>12</v>
      </c>
      <c r="E66">
        <v>4</v>
      </c>
      <c r="F66">
        <v>4</v>
      </c>
      <c r="G66">
        <v>4</v>
      </c>
      <c r="H66">
        <v>2</v>
      </c>
      <c r="I66">
        <v>4</v>
      </c>
      <c r="J66">
        <v>2</v>
      </c>
      <c r="K66">
        <v>0</v>
      </c>
    </row>
    <row r="67" spans="1:11" x14ac:dyDescent="0.35">
      <c r="A67">
        <v>66</v>
      </c>
      <c r="B67" t="str">
        <f ca="1">IF(LOWER(LEFT(TRIM(tbl_Lifestyle[[#This Row],[activities]]),1))="y","yes","no")</f>
        <v>yes</v>
      </c>
      <c r="C67" t="s">
        <v>12</v>
      </c>
      <c r="D67" t="s">
        <v>11</v>
      </c>
      <c r="E67">
        <v>5</v>
      </c>
      <c r="F67">
        <v>4</v>
      </c>
      <c r="G67">
        <v>3</v>
      </c>
      <c r="H67">
        <v>1</v>
      </c>
      <c r="I67">
        <v>2</v>
      </c>
      <c r="J67">
        <v>1</v>
      </c>
      <c r="K67">
        <v>2</v>
      </c>
    </row>
    <row r="68" spans="1:11" x14ac:dyDescent="0.35">
      <c r="A68">
        <v>67</v>
      </c>
      <c r="B68" t="str">
        <f ca="1">IF(LOWER(LEFT(TRIM(tbl_Lifestyle[[#This Row],[activities]]),1))="y","yes","no")</f>
        <v>yes</v>
      </c>
      <c r="C68" t="s">
        <v>12</v>
      </c>
      <c r="D68" t="s">
        <v>12</v>
      </c>
      <c r="E68">
        <v>1</v>
      </c>
      <c r="F68">
        <v>3</v>
      </c>
      <c r="G68">
        <v>3</v>
      </c>
      <c r="H68">
        <v>5</v>
      </c>
      <c r="I68">
        <v>5</v>
      </c>
      <c r="J68">
        <v>3</v>
      </c>
      <c r="K68">
        <v>4</v>
      </c>
    </row>
    <row r="69" spans="1:11" x14ac:dyDescent="0.35">
      <c r="A69">
        <v>68</v>
      </c>
      <c r="B69" t="str">
        <f ca="1">IF(LOWER(LEFT(TRIM(tbl_Lifestyle[[#This Row],[activities]]),1))="y","yes","no")</f>
        <v>no</v>
      </c>
      <c r="C69" t="s">
        <v>12</v>
      </c>
      <c r="D69" t="s">
        <v>11</v>
      </c>
      <c r="E69">
        <v>4</v>
      </c>
      <c r="F69">
        <v>3</v>
      </c>
      <c r="G69">
        <v>3</v>
      </c>
      <c r="H69">
        <v>1</v>
      </c>
      <c r="I69">
        <v>2</v>
      </c>
      <c r="J69">
        <v>5</v>
      </c>
      <c r="K69">
        <v>4</v>
      </c>
    </row>
    <row r="70" spans="1:11" x14ac:dyDescent="0.35">
      <c r="A70">
        <v>69</v>
      </c>
      <c r="B70" t="str">
        <f ca="1">IF(LOWER(LEFT(TRIM(tbl_Lifestyle[[#This Row],[activities]]),1))="y","yes","no")</f>
        <v>no</v>
      </c>
      <c r="C70" t="s">
        <v>12</v>
      </c>
      <c r="D70" t="s">
        <v>11</v>
      </c>
      <c r="E70">
        <v>4</v>
      </c>
      <c r="F70">
        <v>1</v>
      </c>
      <c r="G70">
        <v>3</v>
      </c>
      <c r="H70">
        <v>1</v>
      </c>
      <c r="I70">
        <v>3</v>
      </c>
      <c r="J70">
        <v>4</v>
      </c>
      <c r="K70">
        <v>2</v>
      </c>
    </row>
    <row r="71" spans="1:11" x14ac:dyDescent="0.35">
      <c r="A71">
        <v>70</v>
      </c>
      <c r="B71" t="str">
        <f ca="1">IF(LOWER(LEFT(TRIM(tbl_Lifestyle[[#This Row],[activities]]),1))="y","yes","no")</f>
        <v>no</v>
      </c>
      <c r="C71" t="s">
        <v>12</v>
      </c>
      <c r="D71" t="s">
        <v>11</v>
      </c>
      <c r="E71">
        <v>4</v>
      </c>
      <c r="F71">
        <v>4</v>
      </c>
      <c r="G71">
        <v>2</v>
      </c>
      <c r="H71">
        <v>2</v>
      </c>
      <c r="I71">
        <v>3</v>
      </c>
      <c r="J71">
        <v>3</v>
      </c>
      <c r="K71">
        <v>12</v>
      </c>
    </row>
    <row r="72" spans="1:11" x14ac:dyDescent="0.35">
      <c r="A72">
        <v>71</v>
      </c>
      <c r="B72" t="str">
        <f ca="1">IF(LOWER(LEFT(TRIM(tbl_Lifestyle[[#This Row],[activities]]),1))="y","yes","no")</f>
        <v>no</v>
      </c>
      <c r="C72" t="s">
        <v>12</v>
      </c>
      <c r="D72" t="s">
        <v>11</v>
      </c>
      <c r="E72">
        <v>4</v>
      </c>
      <c r="F72">
        <v>3</v>
      </c>
      <c r="G72">
        <v>2</v>
      </c>
      <c r="H72">
        <v>1</v>
      </c>
      <c r="I72">
        <v>1</v>
      </c>
      <c r="J72">
        <v>5</v>
      </c>
      <c r="K72">
        <v>0</v>
      </c>
    </row>
    <row r="73" spans="1:11" x14ac:dyDescent="0.35">
      <c r="A73">
        <v>72</v>
      </c>
      <c r="B73" t="str">
        <f ca="1">IF(LOWER(LEFT(TRIM(tbl_Lifestyle[[#This Row],[activities]]),1))="y","yes","no")</f>
        <v>no</v>
      </c>
      <c r="C73" t="s">
        <v>114</v>
      </c>
      <c r="D73" t="s">
        <v>11</v>
      </c>
      <c r="E73">
        <v>3</v>
      </c>
      <c r="F73">
        <v>3</v>
      </c>
      <c r="G73">
        <v>3</v>
      </c>
      <c r="H73">
        <v>1</v>
      </c>
      <c r="I73">
        <v>1</v>
      </c>
      <c r="J73">
        <v>3</v>
      </c>
      <c r="K73">
        <v>0</v>
      </c>
    </row>
    <row r="74" spans="1:11" x14ac:dyDescent="0.35">
      <c r="A74">
        <v>73</v>
      </c>
      <c r="B74" t="str">
        <f ca="1">IF(LOWER(LEFT(TRIM(tbl_Lifestyle[[#This Row],[activities]]),1))="y","yes","no")</f>
        <v>no</v>
      </c>
      <c r="C74" t="s">
        <v>12</v>
      </c>
      <c r="D74" t="s">
        <v>12</v>
      </c>
      <c r="E74">
        <v>3</v>
      </c>
      <c r="F74">
        <v>3</v>
      </c>
      <c r="G74">
        <v>4</v>
      </c>
      <c r="H74">
        <v>2</v>
      </c>
      <c r="I74">
        <v>4</v>
      </c>
      <c r="J74">
        <v>5</v>
      </c>
      <c r="K74">
        <v>2</v>
      </c>
    </row>
    <row r="75" spans="1:11" x14ac:dyDescent="0.35">
      <c r="A75">
        <v>74</v>
      </c>
      <c r="B75" t="str">
        <f ca="1">IF(LOWER(LEFT(TRIM(tbl_Lifestyle[[#This Row],[activities]]),1))="y","yes","no")</f>
        <v>yes</v>
      </c>
      <c r="C75" t="s">
        <v>11</v>
      </c>
      <c r="D75" t="s">
        <v>11</v>
      </c>
      <c r="E75">
        <v>5</v>
      </c>
      <c r="F75">
        <v>3</v>
      </c>
      <c r="G75">
        <v>2</v>
      </c>
      <c r="H75">
        <v>2</v>
      </c>
      <c r="I75">
        <v>2</v>
      </c>
      <c r="J75">
        <v>5</v>
      </c>
      <c r="K75">
        <v>2</v>
      </c>
    </row>
    <row r="76" spans="1:11" x14ac:dyDescent="0.35">
      <c r="A76">
        <v>75</v>
      </c>
      <c r="B76" t="str">
        <f ca="1">IF(LOWER(LEFT(TRIM(tbl_Lifestyle[[#This Row],[activities]]),1))="y","yes","no")</f>
        <v>yes</v>
      </c>
      <c r="C76" t="s">
        <v>12</v>
      </c>
      <c r="D76" t="s">
        <v>11</v>
      </c>
      <c r="E76">
        <v>4</v>
      </c>
      <c r="F76">
        <v>3</v>
      </c>
      <c r="G76">
        <v>3</v>
      </c>
      <c r="H76">
        <v>2</v>
      </c>
      <c r="I76">
        <v>4</v>
      </c>
      <c r="J76">
        <v>5</v>
      </c>
      <c r="K76">
        <v>54</v>
      </c>
    </row>
    <row r="77" spans="1:11" x14ac:dyDescent="0.35">
      <c r="A77">
        <v>76</v>
      </c>
      <c r="B77" t="str">
        <f ca="1">IF(LOWER(LEFT(TRIM(tbl_Lifestyle[[#This Row],[activities]]),1))="y","yes","no")</f>
        <v>yes</v>
      </c>
      <c r="C77" t="s">
        <v>12</v>
      </c>
      <c r="D77" t="s">
        <v>11</v>
      </c>
      <c r="E77">
        <v>4</v>
      </c>
      <c r="F77">
        <v>3</v>
      </c>
      <c r="G77">
        <v>3</v>
      </c>
      <c r="H77">
        <v>2</v>
      </c>
      <c r="I77">
        <v>3</v>
      </c>
      <c r="J77">
        <v>5</v>
      </c>
      <c r="K77">
        <v>6</v>
      </c>
    </row>
    <row r="78" spans="1:11" x14ac:dyDescent="0.35">
      <c r="A78">
        <v>77</v>
      </c>
      <c r="B78" t="str">
        <f ca="1">IF(LOWER(LEFT(TRIM(tbl_Lifestyle[[#This Row],[activities]]),1))="y","yes","no")</f>
        <v>yes</v>
      </c>
      <c r="C78" t="s">
        <v>12</v>
      </c>
      <c r="D78" t="s">
        <v>11</v>
      </c>
      <c r="E78">
        <v>3</v>
      </c>
      <c r="F78">
        <v>4</v>
      </c>
      <c r="G78">
        <v>3</v>
      </c>
      <c r="H78">
        <v>1</v>
      </c>
      <c r="I78">
        <v>1</v>
      </c>
      <c r="J78">
        <v>1</v>
      </c>
      <c r="K78">
        <v>8</v>
      </c>
    </row>
    <row r="79" spans="1:11" x14ac:dyDescent="0.35">
      <c r="A79">
        <v>78</v>
      </c>
      <c r="B79" t="str">
        <f ca="1">IF(LOWER(LEFT(TRIM(tbl_Lifestyle[[#This Row],[activities]]),1))="y","yes","no")</f>
        <v>no</v>
      </c>
      <c r="C79" t="s">
        <v>12</v>
      </c>
      <c r="D79" t="s">
        <v>12</v>
      </c>
      <c r="E79">
        <v>5</v>
      </c>
      <c r="F79">
        <v>2</v>
      </c>
      <c r="G79">
        <v>3</v>
      </c>
      <c r="H79">
        <v>1</v>
      </c>
      <c r="I79">
        <v>3</v>
      </c>
      <c r="J79">
        <v>3</v>
      </c>
      <c r="K79">
        <v>0</v>
      </c>
    </row>
    <row r="80" spans="1:11" x14ac:dyDescent="0.35">
      <c r="A80">
        <v>79</v>
      </c>
      <c r="B80" t="str">
        <f ca="1">IF(LOWER(LEFT(TRIM(tbl_Lifestyle[[#This Row],[activities]]),1))="y","yes","no")</f>
        <v>yes</v>
      </c>
      <c r="C80" t="s">
        <v>12</v>
      </c>
      <c r="D80" t="s">
        <v>11</v>
      </c>
      <c r="E80">
        <v>4</v>
      </c>
      <c r="F80">
        <v>5</v>
      </c>
      <c r="G80">
        <v>1</v>
      </c>
      <c r="H80">
        <v>1</v>
      </c>
      <c r="I80">
        <v>1</v>
      </c>
      <c r="J80">
        <v>3</v>
      </c>
      <c r="K80">
        <v>2</v>
      </c>
    </row>
    <row r="81" spans="1:11" x14ac:dyDescent="0.35">
      <c r="A81">
        <v>80</v>
      </c>
      <c r="B81" t="str">
        <f ca="1">IF(LOWER(LEFT(TRIM(tbl_Lifestyle[[#This Row],[activities]]),1))="y","yes","no")</f>
        <v>no</v>
      </c>
      <c r="C81" t="s">
        <v>12</v>
      </c>
      <c r="D81" t="s">
        <v>11</v>
      </c>
      <c r="E81">
        <v>2</v>
      </c>
      <c r="F81">
        <v>4</v>
      </c>
      <c r="G81">
        <v>3</v>
      </c>
      <c r="H81">
        <v>1</v>
      </c>
      <c r="I81">
        <v>2</v>
      </c>
      <c r="J81">
        <v>3</v>
      </c>
      <c r="K81">
        <v>12</v>
      </c>
    </row>
    <row r="82" spans="1:11" x14ac:dyDescent="0.35">
      <c r="A82">
        <v>81</v>
      </c>
      <c r="B82" t="str">
        <f ca="1">IF(LOWER(LEFT(TRIM(tbl_Lifestyle[[#This Row],[activities]]),1))="y","yes","no")</f>
        <v>yes</v>
      </c>
      <c r="C82" t="s">
        <v>12</v>
      </c>
      <c r="D82" t="s">
        <v>12</v>
      </c>
      <c r="E82">
        <v>3</v>
      </c>
      <c r="F82">
        <v>2</v>
      </c>
      <c r="G82">
        <v>2</v>
      </c>
      <c r="H82">
        <v>1</v>
      </c>
      <c r="I82">
        <v>3</v>
      </c>
      <c r="J82">
        <v>3</v>
      </c>
      <c r="K82">
        <v>2</v>
      </c>
    </row>
    <row r="83" spans="1:11" x14ac:dyDescent="0.35">
      <c r="A83">
        <v>82</v>
      </c>
      <c r="B83" t="str">
        <f ca="1">IF(LOWER(LEFT(TRIM(tbl_Lifestyle[[#This Row],[activities]]),1))="y","yes","no")</f>
        <v>no</v>
      </c>
      <c r="C83" t="s">
        <v>12</v>
      </c>
      <c r="D83" t="s">
        <v>11</v>
      </c>
      <c r="E83">
        <v>5</v>
      </c>
      <c r="F83">
        <v>3</v>
      </c>
      <c r="G83">
        <v>2</v>
      </c>
      <c r="H83">
        <v>1</v>
      </c>
      <c r="I83">
        <v>2</v>
      </c>
      <c r="J83">
        <v>5</v>
      </c>
      <c r="K83">
        <v>4</v>
      </c>
    </row>
    <row r="84" spans="1:11" x14ac:dyDescent="0.35">
      <c r="A84">
        <v>83</v>
      </c>
      <c r="B84" t="str">
        <f ca="1">IF(LOWER(LEFT(TRIM(tbl_Lifestyle[[#This Row],[activities]]),1))="y","yes","no")</f>
        <v>no</v>
      </c>
      <c r="C84" t="s">
        <v>12</v>
      </c>
      <c r="D84" t="s">
        <v>11</v>
      </c>
      <c r="E84">
        <v>4</v>
      </c>
      <c r="F84">
        <v>4</v>
      </c>
      <c r="G84">
        <v>4</v>
      </c>
      <c r="H84">
        <v>1</v>
      </c>
      <c r="I84">
        <v>1</v>
      </c>
      <c r="J84">
        <v>5</v>
      </c>
      <c r="K84">
        <v>10</v>
      </c>
    </row>
    <row r="85" spans="1:11" x14ac:dyDescent="0.35">
      <c r="A85">
        <v>84</v>
      </c>
      <c r="B85" t="str">
        <f ca="1">IF(LOWER(LEFT(TRIM(tbl_Lifestyle[[#This Row],[activities]]),1))="y","yes","no")</f>
        <v>yes</v>
      </c>
      <c r="C85" t="s">
        <v>12</v>
      </c>
      <c r="D85" t="s">
        <v>11</v>
      </c>
      <c r="E85">
        <v>5</v>
      </c>
      <c r="F85">
        <v>3</v>
      </c>
      <c r="G85">
        <v>3</v>
      </c>
      <c r="H85">
        <v>1</v>
      </c>
      <c r="I85">
        <v>3</v>
      </c>
      <c r="J85">
        <v>4</v>
      </c>
      <c r="K85">
        <v>4</v>
      </c>
    </row>
    <row r="86" spans="1:11" x14ac:dyDescent="0.35">
      <c r="A86">
        <v>85</v>
      </c>
      <c r="B86" t="str">
        <f ca="1">IF(LOWER(LEFT(TRIM(tbl_Lifestyle[[#This Row],[activities]]),1))="y","yes","no")</f>
        <v>yes</v>
      </c>
      <c r="C86" t="s">
        <v>12</v>
      </c>
      <c r="D86" t="s">
        <v>11</v>
      </c>
      <c r="E86">
        <v>4</v>
      </c>
      <c r="F86">
        <v>3</v>
      </c>
      <c r="G86">
        <v>2</v>
      </c>
      <c r="H86">
        <v>2</v>
      </c>
      <c r="I86">
        <v>3</v>
      </c>
      <c r="J86">
        <v>4</v>
      </c>
      <c r="K86">
        <v>2</v>
      </c>
    </row>
    <row r="87" spans="1:11" x14ac:dyDescent="0.35">
      <c r="A87">
        <v>86</v>
      </c>
      <c r="B87" t="str">
        <f ca="1">IF(LOWER(LEFT(TRIM(tbl_Lifestyle[[#This Row],[activities]]),1))="y","yes","no")</f>
        <v>no</v>
      </c>
      <c r="C87" t="s">
        <v>12</v>
      </c>
      <c r="D87" t="s">
        <v>12</v>
      </c>
      <c r="E87">
        <v>4</v>
      </c>
      <c r="F87">
        <v>4</v>
      </c>
      <c r="G87">
        <v>4</v>
      </c>
      <c r="H87">
        <v>2</v>
      </c>
      <c r="I87">
        <v>3</v>
      </c>
      <c r="J87">
        <v>5</v>
      </c>
      <c r="K87">
        <v>6</v>
      </c>
    </row>
    <row r="88" spans="1:11" x14ac:dyDescent="0.35">
      <c r="A88">
        <v>87</v>
      </c>
      <c r="B88" t="str">
        <f ca="1">IF(LOWER(LEFT(TRIM(tbl_Lifestyle[[#This Row],[activities]]),1))="y","yes","no")</f>
        <v>no</v>
      </c>
      <c r="C88" t="s">
        <v>11</v>
      </c>
      <c r="D88" t="s">
        <v>11</v>
      </c>
      <c r="E88">
        <v>4</v>
      </c>
      <c r="F88">
        <v>3</v>
      </c>
      <c r="G88">
        <v>4</v>
      </c>
      <c r="H88">
        <v>1</v>
      </c>
      <c r="I88">
        <v>2</v>
      </c>
      <c r="J88">
        <v>2</v>
      </c>
      <c r="K88">
        <v>4</v>
      </c>
    </row>
    <row r="89" spans="1:11" x14ac:dyDescent="0.35">
      <c r="A89">
        <v>88</v>
      </c>
      <c r="B89" t="str">
        <f ca="1">IF(LOWER(LEFT(TRIM(tbl_Lifestyle[[#This Row],[activities]]),1))="y","yes","no")</f>
        <v>yes</v>
      </c>
      <c r="C89" t="s">
        <v>12</v>
      </c>
      <c r="D89" t="s">
        <v>11</v>
      </c>
      <c r="E89">
        <v>5</v>
      </c>
      <c r="F89">
        <v>3</v>
      </c>
      <c r="G89">
        <v>3</v>
      </c>
      <c r="H89">
        <v>1</v>
      </c>
      <c r="I89">
        <v>3</v>
      </c>
      <c r="J89">
        <v>1</v>
      </c>
      <c r="K89">
        <v>4</v>
      </c>
    </row>
    <row r="90" spans="1:11" x14ac:dyDescent="0.35">
      <c r="A90">
        <v>89</v>
      </c>
      <c r="B90" t="str">
        <f ca="1">IF(LOWER(LEFT(TRIM(tbl_Lifestyle[[#This Row],[activities]]),1))="y","yes","no")</f>
        <v>yes</v>
      </c>
      <c r="C90" t="s">
        <v>12</v>
      </c>
      <c r="D90" t="s">
        <v>11</v>
      </c>
      <c r="E90">
        <v>4</v>
      </c>
      <c r="F90">
        <v>4</v>
      </c>
      <c r="G90">
        <v>2</v>
      </c>
      <c r="H90">
        <v>1</v>
      </c>
      <c r="I90">
        <v>1</v>
      </c>
      <c r="J90">
        <v>3</v>
      </c>
      <c r="K90">
        <v>12</v>
      </c>
    </row>
    <row r="91" spans="1:11" x14ac:dyDescent="0.35">
      <c r="A91">
        <v>90</v>
      </c>
      <c r="B91" t="str">
        <f ca="1">IF(LOWER(LEFT(TRIM(tbl_Lifestyle[[#This Row],[activities]]),1))="y","yes","no")</f>
        <v>no</v>
      </c>
      <c r="C91" t="s">
        <v>11</v>
      </c>
      <c r="D91" t="s">
        <v>11</v>
      </c>
      <c r="E91">
        <v>4</v>
      </c>
      <c r="F91">
        <v>1</v>
      </c>
      <c r="G91">
        <v>3</v>
      </c>
      <c r="H91">
        <v>3</v>
      </c>
      <c r="I91">
        <v>5</v>
      </c>
      <c r="J91">
        <v>5</v>
      </c>
      <c r="K91">
        <v>18</v>
      </c>
    </row>
    <row r="92" spans="1:11" x14ac:dyDescent="0.35">
      <c r="A92">
        <v>91</v>
      </c>
      <c r="B92" t="str">
        <f ca="1">IF(LOWER(LEFT(TRIM(tbl_Lifestyle[[#This Row],[activities]]),1))="y","yes","no")</f>
        <v>no</v>
      </c>
      <c r="C92" t="s">
        <v>12</v>
      </c>
      <c r="D92" t="s">
        <v>12</v>
      </c>
      <c r="E92">
        <v>4</v>
      </c>
      <c r="F92">
        <v>3</v>
      </c>
      <c r="G92">
        <v>3</v>
      </c>
      <c r="H92">
        <v>1</v>
      </c>
      <c r="I92">
        <v>3</v>
      </c>
      <c r="J92">
        <v>4</v>
      </c>
      <c r="K92">
        <v>0</v>
      </c>
    </row>
    <row r="93" spans="1:11" x14ac:dyDescent="0.35">
      <c r="A93">
        <v>92</v>
      </c>
      <c r="B93" t="str">
        <f ca="1">IF(LOWER(LEFT(TRIM(tbl_Lifestyle[[#This Row],[activities]]),1))="y","yes","no")</f>
        <v>yes</v>
      </c>
      <c r="C93" t="s">
        <v>12</v>
      </c>
      <c r="D93" t="s">
        <v>11</v>
      </c>
      <c r="E93">
        <v>4</v>
      </c>
      <c r="F93">
        <v>5</v>
      </c>
      <c r="G93">
        <v>5</v>
      </c>
      <c r="H93">
        <v>1</v>
      </c>
      <c r="I93">
        <v>3</v>
      </c>
      <c r="J93">
        <v>1</v>
      </c>
      <c r="K93">
        <v>4</v>
      </c>
    </row>
    <row r="94" spans="1:11" x14ac:dyDescent="0.35">
      <c r="A94">
        <v>93</v>
      </c>
      <c r="B94" t="str">
        <f ca="1">IF(LOWER(LEFT(TRIM(tbl_Lifestyle[[#This Row],[activities]]),1))="y","yes","no")</f>
        <v>no</v>
      </c>
      <c r="C94" t="s">
        <v>11</v>
      </c>
      <c r="D94" t="s">
        <v>11</v>
      </c>
      <c r="E94">
        <v>3</v>
      </c>
      <c r="F94">
        <v>3</v>
      </c>
      <c r="G94">
        <v>3</v>
      </c>
      <c r="H94">
        <v>2</v>
      </c>
      <c r="I94">
        <v>3</v>
      </c>
      <c r="J94">
        <v>2</v>
      </c>
      <c r="K94">
        <v>4</v>
      </c>
    </row>
    <row r="95" spans="1:11" x14ac:dyDescent="0.35">
      <c r="A95">
        <v>94</v>
      </c>
      <c r="B95" t="str">
        <f ca="1">IF(LOWER(LEFT(TRIM(tbl_Lifestyle[[#This Row],[activities]]),1))="y","yes","no")</f>
        <v>yes</v>
      </c>
      <c r="C95" t="s">
        <v>12</v>
      </c>
      <c r="D95" t="s">
        <v>11</v>
      </c>
      <c r="E95">
        <v>5</v>
      </c>
      <c r="F95">
        <v>3</v>
      </c>
      <c r="G95">
        <v>3</v>
      </c>
      <c r="H95">
        <v>1</v>
      </c>
      <c r="I95">
        <v>1</v>
      </c>
      <c r="J95">
        <v>1</v>
      </c>
      <c r="K95">
        <v>0</v>
      </c>
    </row>
    <row r="96" spans="1:11" x14ac:dyDescent="0.35">
      <c r="A96">
        <v>95</v>
      </c>
      <c r="B96" t="str">
        <f ca="1">IF(LOWER(LEFT(TRIM(tbl_Lifestyle[[#This Row],[activities]]),1))="y","yes","no")</f>
        <v>yes</v>
      </c>
      <c r="C96" t="s">
        <v>12</v>
      </c>
      <c r="D96" t="s">
        <v>11</v>
      </c>
      <c r="E96">
        <v>4</v>
      </c>
      <c r="F96">
        <v>3</v>
      </c>
      <c r="G96">
        <v>4</v>
      </c>
      <c r="H96">
        <v>1</v>
      </c>
      <c r="I96">
        <v>1</v>
      </c>
      <c r="J96">
        <v>4</v>
      </c>
      <c r="K96">
        <v>6</v>
      </c>
    </row>
    <row r="97" spans="1:11" x14ac:dyDescent="0.35">
      <c r="A97">
        <v>96</v>
      </c>
      <c r="B97" t="str">
        <f ca="1">IF(LOWER(LEFT(TRIM(tbl_Lifestyle[[#This Row],[activities]]),1))="y","yes","no")</f>
        <v>yes</v>
      </c>
      <c r="C97" t="s">
        <v>12</v>
      </c>
      <c r="D97" t="s">
        <v>11</v>
      </c>
      <c r="E97">
        <v>3</v>
      </c>
      <c r="F97">
        <v>1</v>
      </c>
      <c r="G97">
        <v>2</v>
      </c>
      <c r="H97">
        <v>1</v>
      </c>
      <c r="I97">
        <v>1</v>
      </c>
      <c r="J97">
        <v>1</v>
      </c>
      <c r="K97">
        <v>2</v>
      </c>
    </row>
    <row r="98" spans="1:11" x14ac:dyDescent="0.35">
      <c r="A98">
        <v>97</v>
      </c>
      <c r="B98" t="str">
        <f ca="1">IF(LOWER(LEFT(TRIM(tbl_Lifestyle[[#This Row],[activities]]),1))="y","yes","no")</f>
        <v>yes</v>
      </c>
      <c r="C98" t="s">
        <v>12</v>
      </c>
      <c r="D98" t="s">
        <v>11</v>
      </c>
      <c r="E98">
        <v>3</v>
      </c>
      <c r="F98">
        <v>3</v>
      </c>
      <c r="G98">
        <v>3</v>
      </c>
      <c r="H98">
        <v>1</v>
      </c>
      <c r="I98">
        <v>1</v>
      </c>
      <c r="J98">
        <v>4</v>
      </c>
      <c r="K98">
        <v>2</v>
      </c>
    </row>
    <row r="99" spans="1:11" x14ac:dyDescent="0.35">
      <c r="A99">
        <v>98</v>
      </c>
      <c r="B99" t="str">
        <f ca="1">IF(LOWER(LEFT(TRIM(tbl_Lifestyle[[#This Row],[activities]]),1))="y","yes","no")</f>
        <v>no</v>
      </c>
      <c r="C99" t="s">
        <v>104</v>
      </c>
      <c r="D99" t="s">
        <v>12</v>
      </c>
      <c r="E99">
        <v>4</v>
      </c>
      <c r="F99">
        <v>3</v>
      </c>
      <c r="G99">
        <v>5</v>
      </c>
      <c r="H99">
        <v>1</v>
      </c>
      <c r="I99">
        <v>1</v>
      </c>
      <c r="J99">
        <v>5</v>
      </c>
      <c r="K99">
        <v>2</v>
      </c>
    </row>
    <row r="100" spans="1:11" x14ac:dyDescent="0.35">
      <c r="A100">
        <v>99</v>
      </c>
      <c r="B100" t="str">
        <f ca="1">IF(LOWER(LEFT(TRIM(tbl_Lifestyle[[#This Row],[activities]]),1))="y","yes","no")</f>
        <v>yes</v>
      </c>
      <c r="C100" t="s">
        <v>103</v>
      </c>
      <c r="D100" t="s">
        <v>11</v>
      </c>
      <c r="E100">
        <v>5</v>
      </c>
      <c r="F100">
        <v>3</v>
      </c>
      <c r="G100">
        <v>4</v>
      </c>
      <c r="H100">
        <v>1</v>
      </c>
      <c r="I100">
        <v>2</v>
      </c>
      <c r="J100">
        <v>1</v>
      </c>
      <c r="K100">
        <v>6</v>
      </c>
    </row>
    <row r="101" spans="1:11" x14ac:dyDescent="0.35">
      <c r="A101">
        <v>100</v>
      </c>
      <c r="B101" t="str">
        <f ca="1">IF(LOWER(LEFT(TRIM(tbl_Lifestyle[[#This Row],[activities]]),1))="y","yes","no")</f>
        <v>no</v>
      </c>
      <c r="C101" t="s">
        <v>12</v>
      </c>
      <c r="D101" t="s">
        <v>11</v>
      </c>
      <c r="E101">
        <v>5</v>
      </c>
      <c r="F101">
        <v>3</v>
      </c>
      <c r="G101">
        <v>5</v>
      </c>
      <c r="H101">
        <v>1</v>
      </c>
      <c r="I101">
        <v>1</v>
      </c>
      <c r="J101">
        <v>3</v>
      </c>
      <c r="K101">
        <v>0</v>
      </c>
    </row>
    <row r="102" spans="1:11" x14ac:dyDescent="0.35">
      <c r="A102">
        <v>101</v>
      </c>
      <c r="B102" t="str">
        <f ca="1">IF(LOWER(LEFT(TRIM(tbl_Lifestyle[[#This Row],[activities]]),1))="y","yes","no")</f>
        <v>yes</v>
      </c>
      <c r="C102" t="s">
        <v>12</v>
      </c>
      <c r="D102" t="s">
        <v>11</v>
      </c>
      <c r="E102">
        <v>4</v>
      </c>
      <c r="F102">
        <v>5</v>
      </c>
      <c r="G102">
        <v>5</v>
      </c>
      <c r="H102">
        <v>5</v>
      </c>
      <c r="I102">
        <v>5</v>
      </c>
      <c r="J102">
        <v>4</v>
      </c>
      <c r="K102">
        <v>14</v>
      </c>
    </row>
    <row r="103" spans="1:11" x14ac:dyDescent="0.35">
      <c r="A103">
        <v>102</v>
      </c>
      <c r="B103" t="str">
        <f ca="1">IF(LOWER(LEFT(TRIM(tbl_Lifestyle[[#This Row],[activities]]),1))="y","yes","no")</f>
        <v>yes</v>
      </c>
      <c r="C103" t="s">
        <v>12</v>
      </c>
      <c r="D103" t="s">
        <v>12</v>
      </c>
      <c r="E103">
        <v>4</v>
      </c>
      <c r="F103">
        <v>4</v>
      </c>
      <c r="G103">
        <v>3</v>
      </c>
      <c r="H103">
        <v>1</v>
      </c>
      <c r="I103">
        <v>1</v>
      </c>
      <c r="J103">
        <v>4</v>
      </c>
      <c r="K103">
        <v>0</v>
      </c>
    </row>
    <row r="104" spans="1:11" x14ac:dyDescent="0.35">
      <c r="A104">
        <v>103</v>
      </c>
      <c r="B104" t="str">
        <f ca="1">IF(LOWER(LEFT(TRIM(tbl_Lifestyle[[#This Row],[activities]]),1))="y","yes","no")</f>
        <v>yes</v>
      </c>
      <c r="C104" t="s">
        <v>12</v>
      </c>
      <c r="D104" t="s">
        <v>11</v>
      </c>
      <c r="E104">
        <v>5</v>
      </c>
      <c r="F104">
        <v>3</v>
      </c>
      <c r="G104">
        <v>3</v>
      </c>
      <c r="H104">
        <v>1</v>
      </c>
      <c r="I104">
        <v>1</v>
      </c>
      <c r="J104">
        <v>5</v>
      </c>
      <c r="K104">
        <v>4</v>
      </c>
    </row>
    <row r="105" spans="1:11" x14ac:dyDescent="0.35">
      <c r="A105">
        <v>104</v>
      </c>
      <c r="B105" t="str">
        <f ca="1">IF(LOWER(LEFT(TRIM(tbl_Lifestyle[[#This Row],[activities]]),1))="y","yes","no")</f>
        <v>no</v>
      </c>
      <c r="C105" t="s">
        <v>12</v>
      </c>
      <c r="D105" t="s">
        <v>11</v>
      </c>
      <c r="E105">
        <v>4</v>
      </c>
      <c r="F105">
        <v>3</v>
      </c>
      <c r="G105">
        <v>5</v>
      </c>
      <c r="H105">
        <v>1</v>
      </c>
      <c r="I105">
        <v>1</v>
      </c>
      <c r="J105">
        <v>2</v>
      </c>
      <c r="K105">
        <v>26</v>
      </c>
    </row>
    <row r="106" spans="1:11" x14ac:dyDescent="0.35">
      <c r="A106">
        <v>105</v>
      </c>
      <c r="B106" t="str">
        <f ca="1">IF(LOWER(LEFT(TRIM(tbl_Lifestyle[[#This Row],[activities]]),1))="y","yes","no")</f>
        <v>yes</v>
      </c>
      <c r="C106" t="s">
        <v>12</v>
      </c>
      <c r="D106" t="s">
        <v>11</v>
      </c>
      <c r="E106">
        <v>5</v>
      </c>
      <c r="F106">
        <v>4</v>
      </c>
      <c r="G106">
        <v>4</v>
      </c>
      <c r="H106">
        <v>1</v>
      </c>
      <c r="I106">
        <v>1</v>
      </c>
      <c r="J106">
        <v>1</v>
      </c>
      <c r="K106">
        <v>0</v>
      </c>
    </row>
    <row r="107" spans="1:11" x14ac:dyDescent="0.35">
      <c r="A107">
        <v>106</v>
      </c>
      <c r="B107" t="str">
        <f ca="1">IF(LOWER(LEFT(TRIM(tbl_Lifestyle[[#This Row],[activities]]),1))="y","yes","no")</f>
        <v>no</v>
      </c>
      <c r="C107" t="s">
        <v>11</v>
      </c>
      <c r="D107" t="s">
        <v>11</v>
      </c>
      <c r="E107">
        <v>4</v>
      </c>
      <c r="F107">
        <v>3</v>
      </c>
      <c r="G107">
        <v>3</v>
      </c>
      <c r="H107">
        <v>1</v>
      </c>
      <c r="I107">
        <v>1</v>
      </c>
      <c r="J107">
        <v>4</v>
      </c>
      <c r="K107">
        <v>10</v>
      </c>
    </row>
    <row r="108" spans="1:11" x14ac:dyDescent="0.35">
      <c r="A108">
        <v>107</v>
      </c>
      <c r="B108" t="str">
        <f ca="1">IF(LOWER(LEFT(TRIM(tbl_Lifestyle[[#This Row],[activities]]),1))="y","yes","no")</f>
        <v>no</v>
      </c>
      <c r="C108" t="s">
        <v>12</v>
      </c>
      <c r="D108" t="s">
        <v>11</v>
      </c>
      <c r="E108">
        <v>5</v>
      </c>
      <c r="F108">
        <v>1</v>
      </c>
      <c r="G108">
        <v>2</v>
      </c>
      <c r="H108">
        <v>1</v>
      </c>
      <c r="I108">
        <v>1</v>
      </c>
      <c r="J108">
        <v>3</v>
      </c>
      <c r="K108">
        <v>8</v>
      </c>
    </row>
    <row r="109" spans="1:11" x14ac:dyDescent="0.35">
      <c r="A109">
        <v>108</v>
      </c>
      <c r="B109" t="str">
        <f ca="1">IF(LOWER(LEFT(TRIM(tbl_Lifestyle[[#This Row],[activities]]),1))="y","yes","no")</f>
        <v>yes</v>
      </c>
      <c r="C109" t="s">
        <v>12</v>
      </c>
      <c r="D109" t="s">
        <v>11</v>
      </c>
      <c r="E109">
        <v>5</v>
      </c>
      <c r="F109">
        <v>3</v>
      </c>
      <c r="G109">
        <v>3</v>
      </c>
      <c r="H109">
        <v>1</v>
      </c>
      <c r="I109">
        <v>1</v>
      </c>
      <c r="J109">
        <v>5</v>
      </c>
      <c r="K109">
        <v>2</v>
      </c>
    </row>
    <row r="110" spans="1:11" x14ac:dyDescent="0.35">
      <c r="A110">
        <v>109</v>
      </c>
      <c r="B110" t="str">
        <f ca="1">IF(LOWER(LEFT(TRIM(tbl_Lifestyle[[#This Row],[activities]]),1))="y","yes","no")</f>
        <v>yes</v>
      </c>
      <c r="C110" t="s">
        <v>12</v>
      </c>
      <c r="D110" t="s">
        <v>12</v>
      </c>
      <c r="E110">
        <v>1</v>
      </c>
      <c r="F110">
        <v>3</v>
      </c>
      <c r="G110">
        <v>5</v>
      </c>
      <c r="H110">
        <v>3</v>
      </c>
      <c r="I110">
        <v>5</v>
      </c>
      <c r="J110">
        <v>1</v>
      </c>
      <c r="K110">
        <v>6</v>
      </c>
    </row>
    <row r="111" spans="1:11" x14ac:dyDescent="0.35">
      <c r="A111">
        <v>110</v>
      </c>
      <c r="B111" t="str">
        <f ca="1">IF(LOWER(LEFT(TRIM(tbl_Lifestyle[[#This Row],[activities]]),1))="y","yes","no")</f>
        <v>yes</v>
      </c>
      <c r="C111" t="s">
        <v>12</v>
      </c>
      <c r="D111" t="s">
        <v>12</v>
      </c>
      <c r="E111">
        <v>5</v>
      </c>
      <c r="F111">
        <v>4</v>
      </c>
      <c r="G111">
        <v>5</v>
      </c>
      <c r="H111">
        <v>1</v>
      </c>
      <c r="I111">
        <v>1</v>
      </c>
      <c r="J111">
        <v>4</v>
      </c>
      <c r="K111">
        <v>4</v>
      </c>
    </row>
    <row r="112" spans="1:11" x14ac:dyDescent="0.35">
      <c r="A112">
        <v>111</v>
      </c>
      <c r="B112" t="str">
        <f ca="1">IF(LOWER(LEFT(TRIM(tbl_Lifestyle[[#This Row],[activities]]),1))="y","yes","no")</f>
        <v>yes</v>
      </c>
      <c r="C112" t="s">
        <v>12</v>
      </c>
      <c r="D112" t="s">
        <v>11</v>
      </c>
      <c r="E112">
        <v>5</v>
      </c>
      <c r="F112">
        <v>5</v>
      </c>
      <c r="G112">
        <v>3</v>
      </c>
      <c r="H112">
        <v>1</v>
      </c>
      <c r="I112">
        <v>1</v>
      </c>
      <c r="J112">
        <v>4</v>
      </c>
      <c r="K112">
        <v>6</v>
      </c>
    </row>
    <row r="113" spans="1:11" x14ac:dyDescent="0.35">
      <c r="A113">
        <v>112</v>
      </c>
      <c r="B113" t="str">
        <f ca="1">IF(LOWER(LEFT(TRIM(tbl_Lifestyle[[#This Row],[activities]]),1))="y","yes","no")</f>
        <v>yes</v>
      </c>
      <c r="C113" t="s">
        <v>12</v>
      </c>
      <c r="D113" t="s">
        <v>11</v>
      </c>
      <c r="E113">
        <v>4</v>
      </c>
      <c r="F113">
        <v>1</v>
      </c>
      <c r="G113">
        <v>2</v>
      </c>
      <c r="H113">
        <v>1</v>
      </c>
      <c r="I113">
        <v>1</v>
      </c>
      <c r="J113">
        <v>2</v>
      </c>
      <c r="K113">
        <v>0</v>
      </c>
    </row>
    <row r="114" spans="1:11" x14ac:dyDescent="0.35">
      <c r="A114">
        <v>113</v>
      </c>
      <c r="B114" t="str">
        <f ca="1">IF(LOWER(LEFT(TRIM(tbl_Lifestyle[[#This Row],[activities]]),1))="y","yes","no")</f>
        <v>yes</v>
      </c>
      <c r="C114" t="s">
        <v>12</v>
      </c>
      <c r="D114" t="s">
        <v>11</v>
      </c>
      <c r="E114">
        <v>3</v>
      </c>
      <c r="F114">
        <v>1</v>
      </c>
      <c r="G114">
        <v>2</v>
      </c>
      <c r="H114">
        <v>1</v>
      </c>
      <c r="I114">
        <v>1</v>
      </c>
      <c r="J114">
        <v>5</v>
      </c>
      <c r="K114">
        <v>6</v>
      </c>
    </row>
    <row r="115" spans="1:11" x14ac:dyDescent="0.35">
      <c r="A115">
        <v>114</v>
      </c>
      <c r="B115" t="str">
        <f ca="1">IF(LOWER(LEFT(TRIM(tbl_Lifestyle[[#This Row],[activities]]),1))="y","yes","no")</f>
        <v>no</v>
      </c>
      <c r="C115" t="s">
        <v>12</v>
      </c>
      <c r="D115" t="s">
        <v>11</v>
      </c>
      <c r="E115">
        <v>3</v>
      </c>
      <c r="F115">
        <v>5</v>
      </c>
      <c r="G115">
        <v>2</v>
      </c>
      <c r="H115">
        <v>1</v>
      </c>
      <c r="I115">
        <v>1</v>
      </c>
      <c r="J115">
        <v>3</v>
      </c>
      <c r="K115">
        <v>10</v>
      </c>
    </row>
    <row r="116" spans="1:11" x14ac:dyDescent="0.35">
      <c r="A116">
        <v>115</v>
      </c>
      <c r="B116" t="str">
        <f ca="1">IF(LOWER(LEFT(TRIM(tbl_Lifestyle[[#This Row],[activities]]),1))="y","yes","no")</f>
        <v>yes</v>
      </c>
      <c r="C116" t="s">
        <v>12</v>
      </c>
      <c r="D116" t="s">
        <v>12</v>
      </c>
      <c r="E116">
        <v>5</v>
      </c>
      <c r="F116">
        <v>4</v>
      </c>
      <c r="G116">
        <v>2</v>
      </c>
      <c r="H116">
        <v>1</v>
      </c>
      <c r="I116">
        <v>1</v>
      </c>
      <c r="J116">
        <v>5</v>
      </c>
      <c r="K116">
        <v>8</v>
      </c>
    </row>
    <row r="117" spans="1:11" x14ac:dyDescent="0.35">
      <c r="A117">
        <v>116</v>
      </c>
      <c r="B117" t="str">
        <f ca="1">IF(LOWER(LEFT(TRIM(tbl_Lifestyle[[#This Row],[activities]]),1))="y","yes","no")</f>
        <v>yes</v>
      </c>
      <c r="C117" t="s">
        <v>12</v>
      </c>
      <c r="D117" t="s">
        <v>11</v>
      </c>
      <c r="E117">
        <v>5</v>
      </c>
      <c r="F117">
        <v>4</v>
      </c>
      <c r="G117">
        <v>4</v>
      </c>
      <c r="H117">
        <v>1</v>
      </c>
      <c r="I117">
        <v>2</v>
      </c>
      <c r="J117">
        <v>5</v>
      </c>
      <c r="K117">
        <v>2</v>
      </c>
    </row>
    <row r="118" spans="1:11" x14ac:dyDescent="0.35">
      <c r="A118">
        <v>117</v>
      </c>
      <c r="B118" t="str">
        <f ca="1">IF(LOWER(LEFT(TRIM(tbl_Lifestyle[[#This Row],[activities]]),1))="y","yes","no")</f>
        <v>yes</v>
      </c>
      <c r="C118" t="s">
        <v>11</v>
      </c>
      <c r="D118" t="s">
        <v>11</v>
      </c>
      <c r="E118">
        <v>4</v>
      </c>
      <c r="F118">
        <v>4</v>
      </c>
      <c r="G118">
        <v>3</v>
      </c>
      <c r="H118">
        <v>1</v>
      </c>
      <c r="I118">
        <v>1</v>
      </c>
      <c r="J118">
        <v>2</v>
      </c>
      <c r="K118">
        <v>2</v>
      </c>
    </row>
    <row r="119" spans="1:11" x14ac:dyDescent="0.35">
      <c r="A119">
        <v>118</v>
      </c>
      <c r="B119" t="str">
        <f ca="1">IF(LOWER(LEFT(TRIM(tbl_Lifestyle[[#This Row],[activities]]),1))="y","yes","no")</f>
        <v>yes</v>
      </c>
      <c r="C119" t="s">
        <v>12</v>
      </c>
      <c r="D119" t="s">
        <v>11</v>
      </c>
      <c r="E119">
        <v>5</v>
      </c>
      <c r="F119">
        <v>4</v>
      </c>
      <c r="G119">
        <v>2</v>
      </c>
      <c r="H119">
        <v>1</v>
      </c>
      <c r="I119">
        <v>1</v>
      </c>
      <c r="J119">
        <v>5</v>
      </c>
      <c r="K119">
        <v>0</v>
      </c>
    </row>
    <row r="120" spans="1:11" x14ac:dyDescent="0.35">
      <c r="A120">
        <v>119</v>
      </c>
      <c r="B120" t="str">
        <f ca="1">IF(LOWER(LEFT(TRIM(tbl_Lifestyle[[#This Row],[activities]]),1))="y","yes","no")</f>
        <v>yes</v>
      </c>
      <c r="C120" t="s">
        <v>12</v>
      </c>
      <c r="D120" t="s">
        <v>11</v>
      </c>
      <c r="E120">
        <v>5</v>
      </c>
      <c r="F120">
        <v>2</v>
      </c>
      <c r="G120">
        <v>4</v>
      </c>
      <c r="H120">
        <v>1</v>
      </c>
      <c r="I120">
        <v>4</v>
      </c>
      <c r="J120">
        <v>5</v>
      </c>
      <c r="K120">
        <v>20</v>
      </c>
    </row>
    <row r="121" spans="1:11" x14ac:dyDescent="0.35">
      <c r="A121">
        <v>120</v>
      </c>
      <c r="B121" t="str">
        <f ca="1">IF(LOWER(LEFT(TRIM(tbl_Lifestyle[[#This Row],[activities]]),1))="y","yes","no")</f>
        <v>no</v>
      </c>
      <c r="C121" t="s">
        <v>12</v>
      </c>
      <c r="D121" t="s">
        <v>11</v>
      </c>
      <c r="E121">
        <v>3</v>
      </c>
      <c r="F121">
        <v>4</v>
      </c>
      <c r="G121">
        <v>3</v>
      </c>
      <c r="H121">
        <v>1</v>
      </c>
      <c r="I121">
        <v>2</v>
      </c>
      <c r="J121">
        <v>4</v>
      </c>
      <c r="K121">
        <v>6</v>
      </c>
    </row>
    <row r="122" spans="1:11" x14ac:dyDescent="0.35">
      <c r="A122">
        <v>121</v>
      </c>
      <c r="B122" t="str">
        <f ca="1">IF(LOWER(LEFT(TRIM(tbl_Lifestyle[[#This Row],[activities]]),1))="y","yes","no")</f>
        <v>no</v>
      </c>
      <c r="C122" t="s">
        <v>12</v>
      </c>
      <c r="D122" t="s">
        <v>11</v>
      </c>
      <c r="E122">
        <v>3</v>
      </c>
      <c r="F122">
        <v>2</v>
      </c>
      <c r="G122">
        <v>3</v>
      </c>
      <c r="H122">
        <v>1</v>
      </c>
      <c r="I122">
        <v>2</v>
      </c>
      <c r="J122">
        <v>1</v>
      </c>
      <c r="K122">
        <v>2</v>
      </c>
    </row>
    <row r="123" spans="1:11" x14ac:dyDescent="0.35">
      <c r="A123">
        <v>122</v>
      </c>
      <c r="B123" t="str">
        <f ca="1">IF(LOWER(LEFT(TRIM(tbl_Lifestyle[[#This Row],[activities]]),1))="y","yes","no")</f>
        <v>yes</v>
      </c>
      <c r="C123" t="s">
        <v>12</v>
      </c>
      <c r="D123" t="s">
        <v>11</v>
      </c>
      <c r="E123">
        <v>5</v>
      </c>
      <c r="F123">
        <v>5</v>
      </c>
      <c r="G123">
        <v>4</v>
      </c>
      <c r="H123">
        <v>1</v>
      </c>
      <c r="I123">
        <v>2</v>
      </c>
      <c r="J123">
        <v>5</v>
      </c>
      <c r="K123">
        <v>6</v>
      </c>
    </row>
    <row r="124" spans="1:11" x14ac:dyDescent="0.35">
      <c r="A124">
        <v>123</v>
      </c>
      <c r="B124" t="str">
        <f ca="1">IF(LOWER(LEFT(TRIM(tbl_Lifestyle[[#This Row],[activities]]),1))="y","yes","no")</f>
        <v>yes</v>
      </c>
      <c r="C124" t="s">
        <v>12</v>
      </c>
      <c r="D124" t="s">
        <v>12</v>
      </c>
      <c r="E124">
        <v>4</v>
      </c>
      <c r="F124">
        <v>2</v>
      </c>
      <c r="G124">
        <v>2</v>
      </c>
      <c r="H124">
        <v>1</v>
      </c>
      <c r="I124">
        <v>2</v>
      </c>
      <c r="J124">
        <v>5</v>
      </c>
      <c r="K124">
        <v>2</v>
      </c>
    </row>
    <row r="125" spans="1:11" x14ac:dyDescent="0.35">
      <c r="A125">
        <v>124</v>
      </c>
      <c r="B125" t="str">
        <f ca="1">IF(LOWER(LEFT(TRIM(tbl_Lifestyle[[#This Row],[activities]]),1))="y","yes","no")</f>
        <v>yes</v>
      </c>
      <c r="C125" t="s">
        <v>12</v>
      </c>
      <c r="D125" t="s">
        <v>11</v>
      </c>
      <c r="E125">
        <v>3</v>
      </c>
      <c r="F125">
        <v>4</v>
      </c>
      <c r="G125">
        <v>4</v>
      </c>
      <c r="H125">
        <v>1</v>
      </c>
      <c r="I125">
        <v>4</v>
      </c>
      <c r="J125">
        <v>5</v>
      </c>
      <c r="K125">
        <v>18</v>
      </c>
    </row>
    <row r="126" spans="1:11" x14ac:dyDescent="0.35">
      <c r="A126">
        <v>125</v>
      </c>
      <c r="B126" t="str">
        <f ca="1">IF(LOWER(LEFT(TRIM(tbl_Lifestyle[[#This Row],[activities]]),1))="y","yes","no")</f>
        <v>no</v>
      </c>
      <c r="C126" t="s">
        <v>12</v>
      </c>
      <c r="D126" t="s">
        <v>12</v>
      </c>
      <c r="E126">
        <v>5</v>
      </c>
      <c r="F126">
        <v>4</v>
      </c>
      <c r="G126">
        <v>4</v>
      </c>
      <c r="H126">
        <v>1</v>
      </c>
      <c r="I126">
        <v>1</v>
      </c>
      <c r="J126">
        <v>5</v>
      </c>
      <c r="K126">
        <v>0</v>
      </c>
    </row>
    <row r="127" spans="1:11" x14ac:dyDescent="0.35">
      <c r="A127">
        <v>126</v>
      </c>
      <c r="B127" t="str">
        <f ca="1">IF(LOWER(LEFT(TRIM(tbl_Lifestyle[[#This Row],[activities]]),1))="y","yes","no")</f>
        <v>no</v>
      </c>
      <c r="C127" t="s">
        <v>12</v>
      </c>
      <c r="D127" t="s">
        <v>11</v>
      </c>
      <c r="E127">
        <v>5</v>
      </c>
      <c r="F127">
        <v>5</v>
      </c>
      <c r="G127">
        <v>5</v>
      </c>
      <c r="H127">
        <v>3</v>
      </c>
      <c r="I127">
        <v>2</v>
      </c>
      <c r="J127">
        <v>5</v>
      </c>
      <c r="K127">
        <v>0</v>
      </c>
    </row>
    <row r="128" spans="1:11" x14ac:dyDescent="0.35">
      <c r="A128">
        <v>127</v>
      </c>
      <c r="B128" t="str">
        <f ca="1">IF(LOWER(LEFT(TRIM(tbl_Lifestyle[[#This Row],[activities]]),1))="y","yes","no")</f>
        <v>yes</v>
      </c>
      <c r="C128" t="s">
        <v>12</v>
      </c>
      <c r="D128" t="s">
        <v>12</v>
      </c>
      <c r="E128">
        <v>5</v>
      </c>
      <c r="F128">
        <v>3</v>
      </c>
      <c r="G128">
        <v>2</v>
      </c>
      <c r="H128">
        <v>1</v>
      </c>
      <c r="I128">
        <v>1</v>
      </c>
      <c r="J128">
        <v>1</v>
      </c>
      <c r="K128">
        <v>0</v>
      </c>
    </row>
    <row r="129" spans="1:11" x14ac:dyDescent="0.35">
      <c r="A129">
        <v>128</v>
      </c>
      <c r="B129" t="str">
        <f ca="1">IF(LOWER(LEFT(TRIM(tbl_Lifestyle[[#This Row],[activities]]),1))="y","yes","no")</f>
        <v>no</v>
      </c>
      <c r="C129" t="s">
        <v>115</v>
      </c>
      <c r="D129" t="s">
        <v>11</v>
      </c>
      <c r="E129">
        <v>3</v>
      </c>
      <c r="F129">
        <v>4</v>
      </c>
      <c r="G129">
        <v>2</v>
      </c>
      <c r="H129">
        <v>1</v>
      </c>
      <c r="I129">
        <v>1</v>
      </c>
      <c r="J129">
        <v>5</v>
      </c>
      <c r="K129">
        <v>2</v>
      </c>
    </row>
    <row r="130" spans="1:11" x14ac:dyDescent="0.35">
      <c r="A130">
        <v>129</v>
      </c>
      <c r="B130" t="str">
        <f ca="1">IF(LOWER(LEFT(TRIM(tbl_Lifestyle[[#This Row],[activities]]),1))="y","yes","no")</f>
        <v>yes</v>
      </c>
      <c r="C130" t="s">
        <v>12</v>
      </c>
      <c r="D130" t="s">
        <v>11</v>
      </c>
      <c r="E130">
        <v>3</v>
      </c>
      <c r="F130">
        <v>3</v>
      </c>
      <c r="G130">
        <v>3</v>
      </c>
      <c r="H130">
        <v>1</v>
      </c>
      <c r="I130">
        <v>2</v>
      </c>
      <c r="J130">
        <v>4</v>
      </c>
      <c r="K130">
        <v>0</v>
      </c>
    </row>
    <row r="131" spans="1:11" x14ac:dyDescent="0.35">
      <c r="A131">
        <v>130</v>
      </c>
      <c r="B131" t="str">
        <f ca="1">IF(LOWER(LEFT(TRIM(tbl_Lifestyle[[#This Row],[activities]]),1))="y","yes","no")</f>
        <v>yes</v>
      </c>
      <c r="C131" t="s">
        <v>12</v>
      </c>
      <c r="D131" t="s">
        <v>11</v>
      </c>
      <c r="E131">
        <v>3</v>
      </c>
      <c r="F131">
        <v>5</v>
      </c>
      <c r="G131">
        <v>5</v>
      </c>
      <c r="H131">
        <v>2</v>
      </c>
      <c r="I131">
        <v>5</v>
      </c>
      <c r="J131">
        <v>4</v>
      </c>
      <c r="K131">
        <v>8</v>
      </c>
    </row>
    <row r="132" spans="1:11" x14ac:dyDescent="0.35">
      <c r="A132">
        <v>131</v>
      </c>
      <c r="B132" t="str">
        <f ca="1">IF(LOWER(LEFT(TRIM(tbl_Lifestyle[[#This Row],[activities]]),1))="y","yes","no")</f>
        <v>no</v>
      </c>
      <c r="C132" t="s">
        <v>12</v>
      </c>
      <c r="D132" t="s">
        <v>12</v>
      </c>
      <c r="E132">
        <v>4</v>
      </c>
      <c r="F132">
        <v>2</v>
      </c>
      <c r="G132">
        <v>2</v>
      </c>
      <c r="H132">
        <v>2</v>
      </c>
      <c r="I132">
        <v>2</v>
      </c>
      <c r="J132">
        <v>5</v>
      </c>
      <c r="K132">
        <v>0</v>
      </c>
    </row>
    <row r="133" spans="1:11" x14ac:dyDescent="0.35">
      <c r="A133">
        <v>132</v>
      </c>
      <c r="B133" t="str">
        <f ca="1">IF(LOWER(LEFT(TRIM(tbl_Lifestyle[[#This Row],[activities]]),1))="y","yes","no")</f>
        <v>yes</v>
      </c>
      <c r="C133" t="s">
        <v>12</v>
      </c>
      <c r="D133" t="s">
        <v>12</v>
      </c>
      <c r="E133">
        <v>4</v>
      </c>
      <c r="F133">
        <v>3</v>
      </c>
      <c r="G133">
        <v>3</v>
      </c>
      <c r="H133">
        <v>1</v>
      </c>
      <c r="I133">
        <v>2</v>
      </c>
      <c r="J133">
        <v>4</v>
      </c>
      <c r="K133">
        <v>0</v>
      </c>
    </row>
    <row r="134" spans="1:11" x14ac:dyDescent="0.35">
      <c r="A134">
        <v>133</v>
      </c>
      <c r="B134" t="str">
        <f ca="1">IF(LOWER(LEFT(TRIM(tbl_Lifestyle[[#This Row],[activities]]),1))="y","yes","no")</f>
        <v>no</v>
      </c>
      <c r="C134" t="s">
        <v>12</v>
      </c>
      <c r="D134" t="s">
        <v>12</v>
      </c>
      <c r="E134">
        <v>3</v>
      </c>
      <c r="F134">
        <v>4</v>
      </c>
      <c r="G134">
        <v>4</v>
      </c>
      <c r="H134">
        <v>1</v>
      </c>
      <c r="I134">
        <v>3</v>
      </c>
      <c r="J134">
        <v>5</v>
      </c>
      <c r="K134">
        <v>12</v>
      </c>
    </row>
    <row r="135" spans="1:11" x14ac:dyDescent="0.35">
      <c r="A135">
        <v>134</v>
      </c>
      <c r="B135" t="str">
        <f ca="1">IF(LOWER(LEFT(TRIM(tbl_Lifestyle[[#This Row],[activities]]),1))="y","yes","no")</f>
        <v>no</v>
      </c>
      <c r="C135" t="s">
        <v>12</v>
      </c>
      <c r="D135" t="s">
        <v>11</v>
      </c>
      <c r="E135">
        <v>3</v>
      </c>
      <c r="F135">
        <v>2</v>
      </c>
      <c r="G135">
        <v>1</v>
      </c>
      <c r="H135">
        <v>1</v>
      </c>
      <c r="I135">
        <v>4</v>
      </c>
      <c r="J135">
        <v>5</v>
      </c>
      <c r="K135">
        <v>16</v>
      </c>
    </row>
    <row r="136" spans="1:11" x14ac:dyDescent="0.35">
      <c r="A136">
        <v>135</v>
      </c>
      <c r="B136" t="str">
        <f ca="1">IF(LOWER(LEFT(TRIM(tbl_Lifestyle[[#This Row],[activities]]),1))="y","yes","no")</f>
        <v>no</v>
      </c>
      <c r="C136" t="s">
        <v>11</v>
      </c>
      <c r="D136" t="s">
        <v>12</v>
      </c>
      <c r="E136">
        <v>5</v>
      </c>
      <c r="F136">
        <v>3</v>
      </c>
      <c r="G136">
        <v>3</v>
      </c>
      <c r="H136">
        <v>1</v>
      </c>
      <c r="I136">
        <v>1</v>
      </c>
      <c r="J136">
        <v>5</v>
      </c>
      <c r="K136">
        <v>0</v>
      </c>
    </row>
    <row r="137" spans="1:11" x14ac:dyDescent="0.35">
      <c r="A137">
        <v>136</v>
      </c>
      <c r="B137" t="str">
        <f ca="1">IF(LOWER(LEFT(TRIM(tbl_Lifestyle[[#This Row],[activities]]),1))="y","yes","no")</f>
        <v>yes</v>
      </c>
      <c r="C137" t="s">
        <v>12</v>
      </c>
      <c r="D137" t="s">
        <v>12</v>
      </c>
      <c r="E137">
        <v>4</v>
      </c>
      <c r="F137">
        <v>3</v>
      </c>
      <c r="G137">
        <v>3</v>
      </c>
      <c r="H137">
        <v>1</v>
      </c>
      <c r="I137">
        <v>1</v>
      </c>
      <c r="J137">
        <v>5</v>
      </c>
      <c r="K137">
        <v>0</v>
      </c>
    </row>
    <row r="138" spans="1:11" x14ac:dyDescent="0.35">
      <c r="A138">
        <v>137</v>
      </c>
      <c r="B138" t="str">
        <f ca="1">IF(LOWER(LEFT(TRIM(tbl_Lifestyle[[#This Row],[activities]]),1))="y","yes","no")</f>
        <v>no</v>
      </c>
      <c r="C138" t="s">
        <v>11</v>
      </c>
      <c r="D138" t="s">
        <v>11</v>
      </c>
      <c r="E138">
        <v>5</v>
      </c>
      <c r="F138">
        <v>4</v>
      </c>
      <c r="G138">
        <v>5</v>
      </c>
      <c r="H138">
        <v>2</v>
      </c>
      <c r="I138">
        <v>4</v>
      </c>
      <c r="J138">
        <v>5</v>
      </c>
      <c r="K138">
        <v>0</v>
      </c>
    </row>
    <row r="139" spans="1:11" x14ac:dyDescent="0.35">
      <c r="A139">
        <v>138</v>
      </c>
      <c r="B139" t="str">
        <f ca="1">IF(LOWER(LEFT(TRIM(tbl_Lifestyle[[#This Row],[activities]]),1))="y","yes","no")</f>
        <v>yes</v>
      </c>
      <c r="C139" t="s">
        <v>12</v>
      </c>
      <c r="D139" t="s">
        <v>12</v>
      </c>
      <c r="E139">
        <v>4</v>
      </c>
      <c r="F139">
        <v>3</v>
      </c>
      <c r="G139">
        <v>2</v>
      </c>
      <c r="H139">
        <v>1</v>
      </c>
      <c r="I139">
        <v>1</v>
      </c>
      <c r="J139">
        <v>5</v>
      </c>
      <c r="K139">
        <v>0</v>
      </c>
    </row>
    <row r="140" spans="1:11" x14ac:dyDescent="0.35">
      <c r="A140">
        <v>139</v>
      </c>
      <c r="B140" t="str">
        <f ca="1">IF(LOWER(LEFT(TRIM(tbl_Lifestyle[[#This Row],[activities]]),1))="y","yes","no")</f>
        <v>no</v>
      </c>
      <c r="C140" t="s">
        <v>11</v>
      </c>
      <c r="D140" t="s">
        <v>12</v>
      </c>
      <c r="E140">
        <v>4</v>
      </c>
      <c r="F140">
        <v>4</v>
      </c>
      <c r="G140">
        <v>4</v>
      </c>
      <c r="H140">
        <v>1</v>
      </c>
      <c r="I140">
        <v>3</v>
      </c>
      <c r="J140">
        <v>5</v>
      </c>
      <c r="K140">
        <v>0</v>
      </c>
    </row>
    <row r="141" spans="1:11" x14ac:dyDescent="0.35">
      <c r="A141">
        <v>140</v>
      </c>
      <c r="B141" t="str">
        <f ca="1">IF(LOWER(LEFT(TRIM(tbl_Lifestyle[[#This Row],[activities]]),1))="y","yes","no")</f>
        <v>yes</v>
      </c>
      <c r="C141" t="s">
        <v>12</v>
      </c>
      <c r="D141" t="s">
        <v>11</v>
      </c>
      <c r="E141">
        <v>4</v>
      </c>
      <c r="F141">
        <v>3</v>
      </c>
      <c r="G141">
        <v>2</v>
      </c>
      <c r="H141">
        <v>1</v>
      </c>
      <c r="I141">
        <v>1</v>
      </c>
      <c r="J141">
        <v>5</v>
      </c>
      <c r="K141">
        <v>0</v>
      </c>
    </row>
    <row r="142" spans="1:11" x14ac:dyDescent="0.35">
      <c r="A142">
        <v>141</v>
      </c>
      <c r="B142" t="str">
        <f ca="1">IF(LOWER(LEFT(TRIM(tbl_Lifestyle[[#This Row],[activities]]),1))="y","yes","no")</f>
        <v>no</v>
      </c>
      <c r="C142" t="s">
        <v>12</v>
      </c>
      <c r="D142" t="s">
        <v>11</v>
      </c>
      <c r="E142">
        <v>2</v>
      </c>
      <c r="F142">
        <v>2</v>
      </c>
      <c r="G142">
        <v>2</v>
      </c>
      <c r="H142">
        <v>1</v>
      </c>
      <c r="I142">
        <v>1</v>
      </c>
      <c r="J142">
        <v>3</v>
      </c>
      <c r="K142">
        <v>0</v>
      </c>
    </row>
    <row r="143" spans="1:11" x14ac:dyDescent="0.35">
      <c r="A143">
        <v>142</v>
      </c>
      <c r="B143" t="str">
        <f ca="1">IF(LOWER(LEFT(TRIM(tbl_Lifestyle[[#This Row],[activities]]),1))="y","yes","no")</f>
        <v>yes</v>
      </c>
      <c r="C143" t="s">
        <v>12</v>
      </c>
      <c r="D143" t="s">
        <v>11</v>
      </c>
      <c r="E143">
        <v>2</v>
      </c>
      <c r="F143">
        <v>3</v>
      </c>
      <c r="G143">
        <v>3</v>
      </c>
      <c r="H143">
        <v>2</v>
      </c>
      <c r="I143">
        <v>2</v>
      </c>
      <c r="J143">
        <v>2</v>
      </c>
      <c r="K143">
        <v>8</v>
      </c>
    </row>
    <row r="144" spans="1:11" x14ac:dyDescent="0.35">
      <c r="A144">
        <v>143</v>
      </c>
      <c r="B144" t="str">
        <f ca="1">IF(LOWER(LEFT(TRIM(tbl_Lifestyle[[#This Row],[activities]]),1))="y","yes","no")</f>
        <v>yes</v>
      </c>
      <c r="C144" t="s">
        <v>12</v>
      </c>
      <c r="D144" t="s">
        <v>11</v>
      </c>
      <c r="E144">
        <v>4</v>
      </c>
      <c r="F144">
        <v>2</v>
      </c>
      <c r="G144">
        <v>2</v>
      </c>
      <c r="H144">
        <v>1</v>
      </c>
      <c r="I144">
        <v>1</v>
      </c>
      <c r="J144">
        <v>5</v>
      </c>
      <c r="K144">
        <v>2</v>
      </c>
    </row>
    <row r="145" spans="1:11" x14ac:dyDescent="0.35">
      <c r="A145">
        <v>144</v>
      </c>
      <c r="B145" t="str">
        <f ca="1">IF(LOWER(LEFT(TRIM(tbl_Lifestyle[[#This Row],[activities]]),1))="y","yes","no")</f>
        <v>no</v>
      </c>
      <c r="C145" t="s">
        <v>12</v>
      </c>
      <c r="D145" t="s">
        <v>11</v>
      </c>
      <c r="E145">
        <v>3</v>
      </c>
      <c r="F145">
        <v>4</v>
      </c>
      <c r="G145">
        <v>4</v>
      </c>
      <c r="H145">
        <v>3</v>
      </c>
      <c r="I145">
        <v>3</v>
      </c>
      <c r="J145">
        <v>1</v>
      </c>
      <c r="K145">
        <v>2</v>
      </c>
    </row>
    <row r="146" spans="1:11" x14ac:dyDescent="0.35">
      <c r="A146">
        <v>145</v>
      </c>
      <c r="B146" t="str">
        <f ca="1">IF(LOWER(LEFT(TRIM(tbl_Lifestyle[[#This Row],[activities]]),1))="y","yes","no")</f>
        <v>no</v>
      </c>
      <c r="C146" t="s">
        <v>12</v>
      </c>
      <c r="D146" t="s">
        <v>11</v>
      </c>
      <c r="E146">
        <v>5</v>
      </c>
      <c r="F146">
        <v>4</v>
      </c>
      <c r="G146">
        <v>5</v>
      </c>
      <c r="H146">
        <v>1</v>
      </c>
      <c r="I146">
        <v>2</v>
      </c>
      <c r="J146">
        <v>5</v>
      </c>
      <c r="K146">
        <v>0</v>
      </c>
    </row>
    <row r="147" spans="1:11" x14ac:dyDescent="0.35">
      <c r="A147">
        <v>146</v>
      </c>
      <c r="B147" t="str">
        <f ca="1">IF(LOWER(LEFT(TRIM(tbl_Lifestyle[[#This Row],[activities]]),1))="y","yes","no")</f>
        <v>no</v>
      </c>
      <c r="C147" t="s">
        <v>12</v>
      </c>
      <c r="D147" t="s">
        <v>11</v>
      </c>
      <c r="E147">
        <v>4</v>
      </c>
      <c r="F147">
        <v>4</v>
      </c>
      <c r="G147">
        <v>2</v>
      </c>
      <c r="H147">
        <v>1</v>
      </c>
      <c r="I147">
        <v>2</v>
      </c>
      <c r="J147">
        <v>5</v>
      </c>
      <c r="K147">
        <v>0</v>
      </c>
    </row>
    <row r="148" spans="1:11" x14ac:dyDescent="0.35">
      <c r="A148">
        <v>147</v>
      </c>
      <c r="B148" t="str">
        <f ca="1">IF(LOWER(LEFT(TRIM(tbl_Lifestyle[[#This Row],[activities]]),1))="y","yes","no")</f>
        <v>no</v>
      </c>
      <c r="C148" t="s">
        <v>12</v>
      </c>
      <c r="D148" t="s">
        <v>11</v>
      </c>
      <c r="E148">
        <v>3</v>
      </c>
      <c r="F148">
        <v>3</v>
      </c>
      <c r="G148">
        <v>2</v>
      </c>
      <c r="H148">
        <v>1</v>
      </c>
      <c r="I148">
        <v>1</v>
      </c>
      <c r="J148">
        <v>3</v>
      </c>
      <c r="K148">
        <v>0</v>
      </c>
    </row>
    <row r="149" spans="1:11" x14ac:dyDescent="0.35">
      <c r="A149">
        <v>148</v>
      </c>
      <c r="B149" t="str">
        <f ca="1">IF(LOWER(LEFT(TRIM(tbl_Lifestyle[[#This Row],[activities]]),1))="y","yes","no")</f>
        <v>no</v>
      </c>
      <c r="C149" t="s">
        <v>12</v>
      </c>
      <c r="D149" t="s">
        <v>11</v>
      </c>
      <c r="E149">
        <v>4</v>
      </c>
      <c r="F149">
        <v>3</v>
      </c>
      <c r="G149">
        <v>2</v>
      </c>
      <c r="H149">
        <v>1</v>
      </c>
      <c r="I149">
        <v>1</v>
      </c>
      <c r="J149">
        <v>5</v>
      </c>
      <c r="K149">
        <v>2</v>
      </c>
    </row>
    <row r="150" spans="1:11" x14ac:dyDescent="0.35">
      <c r="A150">
        <v>149</v>
      </c>
      <c r="B150" t="str">
        <f ca="1">IF(LOWER(LEFT(TRIM(tbl_Lifestyle[[#This Row],[activities]]),1))="y","yes","no")</f>
        <v>no</v>
      </c>
      <c r="C150" t="s">
        <v>12</v>
      </c>
      <c r="D150" t="s">
        <v>12</v>
      </c>
      <c r="E150">
        <v>3</v>
      </c>
      <c r="F150">
        <v>3</v>
      </c>
      <c r="G150">
        <v>2</v>
      </c>
      <c r="H150">
        <v>2</v>
      </c>
      <c r="I150">
        <v>1</v>
      </c>
      <c r="J150">
        <v>5</v>
      </c>
      <c r="K150">
        <v>0</v>
      </c>
    </row>
    <row r="151" spans="1:11" x14ac:dyDescent="0.35">
      <c r="A151">
        <v>150</v>
      </c>
      <c r="B151" t="str">
        <f ca="1">IF(LOWER(LEFT(TRIM(tbl_Lifestyle[[#This Row],[activities]]),1))="y","yes","no")</f>
        <v>no</v>
      </c>
      <c r="C151" t="s">
        <v>12</v>
      </c>
      <c r="D151" t="s">
        <v>11</v>
      </c>
      <c r="E151">
        <v>4</v>
      </c>
      <c r="F151">
        <v>5</v>
      </c>
      <c r="G151">
        <v>5</v>
      </c>
      <c r="H151">
        <v>2</v>
      </c>
      <c r="I151">
        <v>5</v>
      </c>
      <c r="J151">
        <v>5</v>
      </c>
      <c r="K151">
        <v>0</v>
      </c>
    </row>
    <row r="152" spans="1:11" x14ac:dyDescent="0.35">
      <c r="A152">
        <v>151</v>
      </c>
      <c r="B152" t="str">
        <f ca="1">IF(LOWER(LEFT(TRIM(tbl_Lifestyle[[#This Row],[activities]]),1))="y","yes","no")</f>
        <v>no</v>
      </c>
      <c r="C152" t="s">
        <v>12</v>
      </c>
      <c r="D152" t="s">
        <v>12</v>
      </c>
      <c r="E152">
        <v>2</v>
      </c>
      <c r="F152">
        <v>3</v>
      </c>
      <c r="G152">
        <v>5</v>
      </c>
      <c r="H152">
        <v>2</v>
      </c>
      <c r="I152">
        <v>5</v>
      </c>
      <c r="J152">
        <v>4</v>
      </c>
      <c r="K152">
        <v>0</v>
      </c>
    </row>
    <row r="153" spans="1:11" x14ac:dyDescent="0.35">
      <c r="A153">
        <v>152</v>
      </c>
      <c r="B153" t="str">
        <f ca="1">IF(LOWER(LEFT(TRIM(tbl_Lifestyle[[#This Row],[activities]]),1))="y","yes","no")</f>
        <v>yes</v>
      </c>
      <c r="C153" t="s">
        <v>11</v>
      </c>
      <c r="D153" t="s">
        <v>12</v>
      </c>
      <c r="E153">
        <v>4</v>
      </c>
      <c r="F153">
        <v>4</v>
      </c>
      <c r="G153">
        <v>4</v>
      </c>
      <c r="H153">
        <v>3</v>
      </c>
      <c r="I153">
        <v>5</v>
      </c>
      <c r="J153">
        <v>5</v>
      </c>
      <c r="K153">
        <v>6</v>
      </c>
    </row>
    <row r="154" spans="1:11" x14ac:dyDescent="0.35">
      <c r="A154">
        <v>153</v>
      </c>
      <c r="B154" t="str">
        <f ca="1">IF(LOWER(LEFT(TRIM(tbl_Lifestyle[[#This Row],[activities]]),1))="y","yes","no")</f>
        <v>yes</v>
      </c>
      <c r="C154" t="s">
        <v>12</v>
      </c>
      <c r="D154" t="s">
        <v>12</v>
      </c>
      <c r="E154">
        <v>4</v>
      </c>
      <c r="F154">
        <v>2</v>
      </c>
      <c r="G154">
        <v>1</v>
      </c>
      <c r="H154">
        <v>2</v>
      </c>
      <c r="I154">
        <v>3</v>
      </c>
      <c r="J154">
        <v>3</v>
      </c>
      <c r="K154">
        <v>8</v>
      </c>
    </row>
    <row r="155" spans="1:11" x14ac:dyDescent="0.35">
      <c r="A155">
        <v>154</v>
      </c>
      <c r="B155" t="str">
        <f ca="1">IF(LOWER(LEFT(TRIM(tbl_Lifestyle[[#This Row],[activities]]),1))="y","yes","no")</f>
        <v>no</v>
      </c>
      <c r="C155" t="s">
        <v>12</v>
      </c>
      <c r="D155" t="s">
        <v>12</v>
      </c>
      <c r="E155">
        <v>4</v>
      </c>
      <c r="F155">
        <v>5</v>
      </c>
      <c r="G155">
        <v>4</v>
      </c>
      <c r="H155">
        <v>1</v>
      </c>
      <c r="I155">
        <v>1</v>
      </c>
      <c r="J155">
        <v>4</v>
      </c>
      <c r="K155">
        <v>0</v>
      </c>
    </row>
    <row r="156" spans="1:11" x14ac:dyDescent="0.35">
      <c r="A156">
        <v>155</v>
      </c>
      <c r="B156" t="str">
        <f ca="1">IF(LOWER(LEFT(TRIM(tbl_Lifestyle[[#This Row],[activities]]),1))="y","yes","no")</f>
        <v>no</v>
      </c>
      <c r="C156" t="s">
        <v>11</v>
      </c>
      <c r="D156" t="s">
        <v>12</v>
      </c>
      <c r="E156">
        <v>4</v>
      </c>
      <c r="F156">
        <v>2</v>
      </c>
      <c r="G156">
        <v>1</v>
      </c>
      <c r="H156">
        <v>1</v>
      </c>
      <c r="I156">
        <v>1</v>
      </c>
      <c r="J156">
        <v>4</v>
      </c>
      <c r="K156">
        <v>0</v>
      </c>
    </row>
    <row r="157" spans="1:11" x14ac:dyDescent="0.35">
      <c r="A157">
        <v>156</v>
      </c>
      <c r="B157" t="str">
        <f ca="1">IF(LOWER(LEFT(TRIM(tbl_Lifestyle[[#This Row],[activities]]),1))="y","yes","no")</f>
        <v>yes</v>
      </c>
      <c r="C157" t="s">
        <v>11</v>
      </c>
      <c r="D157" t="s">
        <v>11</v>
      </c>
      <c r="E157">
        <v>4</v>
      </c>
      <c r="F157">
        <v>4</v>
      </c>
      <c r="G157">
        <v>4</v>
      </c>
      <c r="H157">
        <v>1</v>
      </c>
      <c r="I157">
        <v>1</v>
      </c>
      <c r="J157">
        <v>1</v>
      </c>
      <c r="K157">
        <v>2</v>
      </c>
    </row>
    <row r="158" spans="1:11" x14ac:dyDescent="0.35">
      <c r="A158">
        <v>157</v>
      </c>
      <c r="B158" t="str">
        <f ca="1">IF(LOWER(LEFT(TRIM(tbl_Lifestyle[[#This Row],[activities]]),1))="y","yes","no")</f>
        <v>no</v>
      </c>
      <c r="C158" t="s">
        <v>11</v>
      </c>
      <c r="D158" t="s">
        <v>11</v>
      </c>
      <c r="E158">
        <v>2</v>
      </c>
      <c r="F158">
        <v>2</v>
      </c>
      <c r="G158">
        <v>2</v>
      </c>
      <c r="H158">
        <v>3</v>
      </c>
      <c r="I158">
        <v>3</v>
      </c>
      <c r="J158">
        <v>5</v>
      </c>
      <c r="K158">
        <v>8</v>
      </c>
    </row>
    <row r="159" spans="1:11" x14ac:dyDescent="0.35">
      <c r="A159">
        <v>158</v>
      </c>
      <c r="B159" t="str">
        <f ca="1">IF(LOWER(LEFT(TRIM(tbl_Lifestyle[[#This Row],[activities]]),1))="y","yes","no")</f>
        <v>yes</v>
      </c>
      <c r="C159" t="s">
        <v>11</v>
      </c>
      <c r="D159" t="s">
        <v>11</v>
      </c>
      <c r="E159">
        <v>5</v>
      </c>
      <c r="F159">
        <v>2</v>
      </c>
      <c r="G159">
        <v>5</v>
      </c>
      <c r="H159">
        <v>1</v>
      </c>
      <c r="I159">
        <v>5</v>
      </c>
      <c r="J159">
        <v>4</v>
      </c>
      <c r="K159">
        <v>6</v>
      </c>
    </row>
    <row r="160" spans="1:11" x14ac:dyDescent="0.35">
      <c r="A160">
        <v>159</v>
      </c>
      <c r="B160" t="str">
        <f ca="1">IF(LOWER(LEFT(TRIM(tbl_Lifestyle[[#This Row],[activities]]),1))="y","yes","no")</f>
        <v>no</v>
      </c>
      <c r="C160" t="s">
        <v>11</v>
      </c>
      <c r="D160" t="s">
        <v>11</v>
      </c>
      <c r="E160">
        <v>4</v>
      </c>
      <c r="F160">
        <v>2</v>
      </c>
      <c r="G160">
        <v>2</v>
      </c>
      <c r="H160">
        <v>1</v>
      </c>
      <c r="I160">
        <v>2</v>
      </c>
      <c r="J160">
        <v>3</v>
      </c>
      <c r="K160">
        <v>2</v>
      </c>
    </row>
    <row r="161" spans="1:11" x14ac:dyDescent="0.35">
      <c r="A161">
        <v>160</v>
      </c>
      <c r="B161" t="str">
        <f ca="1">IF(LOWER(LEFT(TRIM(tbl_Lifestyle[[#This Row],[activities]]),1))="y","yes","no")</f>
        <v>no</v>
      </c>
      <c r="C161" t="s">
        <v>12</v>
      </c>
      <c r="D161" t="s">
        <v>12</v>
      </c>
      <c r="E161">
        <v>4</v>
      </c>
      <c r="F161">
        <v>5</v>
      </c>
      <c r="G161">
        <v>5</v>
      </c>
      <c r="H161">
        <v>4</v>
      </c>
      <c r="I161">
        <v>4</v>
      </c>
      <c r="J161">
        <v>5</v>
      </c>
      <c r="K161">
        <v>4</v>
      </c>
    </row>
    <row r="162" spans="1:11" x14ac:dyDescent="0.35">
      <c r="A162">
        <v>161</v>
      </c>
      <c r="B162" t="str">
        <f ca="1">IF(LOWER(LEFT(TRIM(tbl_Lifestyle[[#This Row],[activities]]),1))="y","yes","no")</f>
        <v>yes</v>
      </c>
      <c r="C162" t="s">
        <v>12</v>
      </c>
      <c r="D162" t="s">
        <v>12</v>
      </c>
      <c r="E162">
        <v>3</v>
      </c>
      <c r="F162">
        <v>3</v>
      </c>
      <c r="G162">
        <v>2</v>
      </c>
      <c r="H162">
        <v>2</v>
      </c>
      <c r="I162">
        <v>2</v>
      </c>
      <c r="J162">
        <v>5</v>
      </c>
      <c r="K162">
        <v>0</v>
      </c>
    </row>
    <row r="163" spans="1:11" x14ac:dyDescent="0.35">
      <c r="A163">
        <v>162</v>
      </c>
      <c r="B163" t="str">
        <f ca="1">IF(LOWER(LEFT(TRIM(tbl_Lifestyle[[#This Row],[activities]]),1))="y","yes","no")</f>
        <v>no</v>
      </c>
      <c r="C163" t="s">
        <v>12</v>
      </c>
      <c r="D163" t="s">
        <v>12</v>
      </c>
      <c r="E163">
        <v>4</v>
      </c>
      <c r="F163">
        <v>4</v>
      </c>
      <c r="G163">
        <v>4</v>
      </c>
      <c r="H163">
        <v>1</v>
      </c>
      <c r="I163">
        <v>4</v>
      </c>
      <c r="J163">
        <v>3</v>
      </c>
      <c r="K163">
        <v>6</v>
      </c>
    </row>
    <row r="164" spans="1:11" x14ac:dyDescent="0.35">
      <c r="A164">
        <v>163</v>
      </c>
      <c r="B164" t="str">
        <f ca="1">IF(LOWER(LEFT(TRIM(tbl_Lifestyle[[#This Row],[activities]]),1))="y","yes","no")</f>
        <v>yes</v>
      </c>
      <c r="C164" t="s">
        <v>11</v>
      </c>
      <c r="D164" t="s">
        <v>11</v>
      </c>
      <c r="E164">
        <v>4</v>
      </c>
      <c r="F164">
        <v>4</v>
      </c>
      <c r="G164">
        <v>4</v>
      </c>
      <c r="H164">
        <v>2</v>
      </c>
      <c r="I164">
        <v>4</v>
      </c>
      <c r="J164">
        <v>5</v>
      </c>
      <c r="K164">
        <v>0</v>
      </c>
    </row>
    <row r="165" spans="1:11" x14ac:dyDescent="0.35">
      <c r="A165">
        <v>164</v>
      </c>
      <c r="B165" t="str">
        <f ca="1">IF(LOWER(LEFT(TRIM(tbl_Lifestyle[[#This Row],[activities]]),1))="y","yes","no")</f>
        <v>no</v>
      </c>
      <c r="C165" t="s">
        <v>12</v>
      </c>
      <c r="D165" t="s">
        <v>11</v>
      </c>
      <c r="E165">
        <v>5</v>
      </c>
      <c r="F165">
        <v>3</v>
      </c>
      <c r="G165">
        <v>3</v>
      </c>
      <c r="H165">
        <v>1</v>
      </c>
      <c r="I165">
        <v>4</v>
      </c>
      <c r="J165">
        <v>2</v>
      </c>
      <c r="K165">
        <v>2</v>
      </c>
    </row>
    <row r="166" spans="1:11" x14ac:dyDescent="0.35">
      <c r="A166">
        <v>165</v>
      </c>
      <c r="B166" t="str">
        <f ca="1">IF(LOWER(LEFT(TRIM(tbl_Lifestyle[[#This Row],[activities]]),1))="y","yes","no")</f>
        <v>yes</v>
      </c>
      <c r="C166" t="s">
        <v>11</v>
      </c>
      <c r="D166" t="s">
        <v>12</v>
      </c>
      <c r="E166">
        <v>5</v>
      </c>
      <c r="F166">
        <v>3</v>
      </c>
      <c r="G166">
        <v>5</v>
      </c>
      <c r="H166">
        <v>1</v>
      </c>
      <c r="I166">
        <v>5</v>
      </c>
      <c r="J166">
        <v>5</v>
      </c>
      <c r="K166">
        <v>0</v>
      </c>
    </row>
    <row r="167" spans="1:11" x14ac:dyDescent="0.35">
      <c r="A167">
        <v>166</v>
      </c>
      <c r="B167" t="str">
        <f ca="1">IF(LOWER(LEFT(TRIM(tbl_Lifestyle[[#This Row],[activities]]),1))="y","yes","no")</f>
        <v>yes</v>
      </c>
      <c r="C167" t="s">
        <v>11</v>
      </c>
      <c r="D167" t="s">
        <v>11</v>
      </c>
      <c r="E167">
        <v>4</v>
      </c>
      <c r="F167">
        <v>5</v>
      </c>
      <c r="G167">
        <v>2</v>
      </c>
      <c r="H167">
        <v>1</v>
      </c>
      <c r="I167">
        <v>1</v>
      </c>
      <c r="J167">
        <v>2</v>
      </c>
      <c r="K167">
        <v>16</v>
      </c>
    </row>
    <row r="168" spans="1:11" x14ac:dyDescent="0.35">
      <c r="A168">
        <v>167</v>
      </c>
      <c r="B168" t="str">
        <f ca="1">IF(LOWER(LEFT(TRIM(tbl_Lifestyle[[#This Row],[activities]]),1))="y","yes","no")</f>
        <v>no</v>
      </c>
      <c r="C168" t="s">
        <v>12</v>
      </c>
      <c r="D168" t="s">
        <v>11</v>
      </c>
      <c r="E168">
        <v>4</v>
      </c>
      <c r="F168">
        <v>3</v>
      </c>
      <c r="G168">
        <v>5</v>
      </c>
      <c r="H168">
        <v>2</v>
      </c>
      <c r="I168">
        <v>4</v>
      </c>
      <c r="J168">
        <v>4</v>
      </c>
      <c r="K168">
        <v>4</v>
      </c>
    </row>
    <row r="169" spans="1:11" x14ac:dyDescent="0.35">
      <c r="A169">
        <v>168</v>
      </c>
      <c r="B169" t="str">
        <f ca="1">IF(LOWER(LEFT(TRIM(tbl_Lifestyle[[#This Row],[activities]]),1))="y","yes","no")</f>
        <v>no</v>
      </c>
      <c r="C169" t="s">
        <v>12</v>
      </c>
      <c r="D169" t="s">
        <v>12</v>
      </c>
      <c r="E169">
        <v>4</v>
      </c>
      <c r="F169">
        <v>2</v>
      </c>
      <c r="G169">
        <v>3</v>
      </c>
      <c r="H169">
        <v>1</v>
      </c>
      <c r="I169">
        <v>1</v>
      </c>
      <c r="J169">
        <v>3</v>
      </c>
      <c r="K169">
        <v>0</v>
      </c>
    </row>
    <row r="170" spans="1:11" x14ac:dyDescent="0.35">
      <c r="A170">
        <v>169</v>
      </c>
      <c r="B170" t="str">
        <f ca="1">IF(LOWER(LEFT(TRIM(tbl_Lifestyle[[#This Row],[activities]]),1))="y","yes","no")</f>
        <v>no</v>
      </c>
      <c r="C170" t="s">
        <v>12</v>
      </c>
      <c r="D170" t="s">
        <v>11</v>
      </c>
      <c r="E170">
        <v>5</v>
      </c>
      <c r="F170">
        <v>1</v>
      </c>
      <c r="G170">
        <v>5</v>
      </c>
      <c r="H170">
        <v>1</v>
      </c>
      <c r="I170">
        <v>1</v>
      </c>
      <c r="J170">
        <v>4</v>
      </c>
      <c r="K170">
        <v>0</v>
      </c>
    </row>
    <row r="171" spans="1:11" x14ac:dyDescent="0.35">
      <c r="A171">
        <v>170</v>
      </c>
      <c r="B171" t="str">
        <f ca="1">IF(LOWER(LEFT(TRIM(tbl_Lifestyle[[#This Row],[activities]]),1))="y","yes","no")</f>
        <v>no</v>
      </c>
      <c r="C171" t="s">
        <v>12</v>
      </c>
      <c r="D171" t="s">
        <v>12</v>
      </c>
      <c r="E171">
        <v>4</v>
      </c>
      <c r="F171">
        <v>4</v>
      </c>
      <c r="G171">
        <v>2</v>
      </c>
      <c r="H171">
        <v>1</v>
      </c>
      <c r="I171">
        <v>1</v>
      </c>
      <c r="J171">
        <v>3</v>
      </c>
      <c r="K171">
        <v>0</v>
      </c>
    </row>
    <row r="172" spans="1:11" x14ac:dyDescent="0.35">
      <c r="A172">
        <v>171</v>
      </c>
      <c r="B172" t="str">
        <f ca="1">IF(LOWER(LEFT(TRIM(tbl_Lifestyle[[#This Row],[activities]]),1))="y","yes","no")</f>
        <v>yes</v>
      </c>
      <c r="C172" t="s">
        <v>12</v>
      </c>
      <c r="D172" t="s">
        <v>11</v>
      </c>
      <c r="E172">
        <v>3</v>
      </c>
      <c r="F172">
        <v>4</v>
      </c>
      <c r="G172">
        <v>5</v>
      </c>
      <c r="H172">
        <v>2</v>
      </c>
      <c r="I172">
        <v>4</v>
      </c>
      <c r="J172">
        <v>2</v>
      </c>
      <c r="K172">
        <v>0</v>
      </c>
    </row>
    <row r="173" spans="1:11" x14ac:dyDescent="0.35">
      <c r="A173">
        <v>172</v>
      </c>
      <c r="B173" t="str">
        <f ca="1">IF(LOWER(LEFT(TRIM(tbl_Lifestyle[[#This Row],[activities]]),1))="y","yes","no")</f>
        <v>yes</v>
      </c>
      <c r="C173" t="s">
        <v>12</v>
      </c>
      <c r="D173" t="s">
        <v>12</v>
      </c>
      <c r="E173">
        <v>4</v>
      </c>
      <c r="F173">
        <v>3</v>
      </c>
      <c r="G173">
        <v>2</v>
      </c>
      <c r="H173">
        <v>1</v>
      </c>
      <c r="I173">
        <v>1</v>
      </c>
      <c r="J173">
        <v>3</v>
      </c>
      <c r="K173">
        <v>2</v>
      </c>
    </row>
    <row r="174" spans="1:11" x14ac:dyDescent="0.35">
      <c r="A174">
        <v>173</v>
      </c>
      <c r="B174" t="str">
        <f ca="1">IF(LOWER(LEFT(TRIM(tbl_Lifestyle[[#This Row],[activities]]),1))="y","yes","no")</f>
        <v>yes</v>
      </c>
      <c r="C174" t="s">
        <v>12</v>
      </c>
      <c r="D174" t="s">
        <v>11</v>
      </c>
      <c r="E174">
        <v>4</v>
      </c>
      <c r="F174">
        <v>4</v>
      </c>
      <c r="G174">
        <v>4</v>
      </c>
      <c r="H174">
        <v>1</v>
      </c>
      <c r="I174">
        <v>3</v>
      </c>
      <c r="J174">
        <v>5</v>
      </c>
      <c r="K174">
        <v>0</v>
      </c>
    </row>
    <row r="175" spans="1:11" x14ac:dyDescent="0.35">
      <c r="A175">
        <v>174</v>
      </c>
      <c r="B175" t="str">
        <f ca="1">IF(LOWER(LEFT(TRIM(tbl_Lifestyle[[#This Row],[activities]]),1))="y","yes","no")</f>
        <v>yes</v>
      </c>
      <c r="C175" t="s">
        <v>12</v>
      </c>
      <c r="D175" t="s">
        <v>12</v>
      </c>
      <c r="E175">
        <v>4</v>
      </c>
      <c r="F175">
        <v>3</v>
      </c>
      <c r="G175">
        <v>5</v>
      </c>
      <c r="H175">
        <v>1</v>
      </c>
      <c r="I175">
        <v>1</v>
      </c>
      <c r="J175">
        <v>3</v>
      </c>
      <c r="K175">
        <v>0</v>
      </c>
    </row>
    <row r="176" spans="1:11" x14ac:dyDescent="0.35">
      <c r="A176">
        <v>175</v>
      </c>
      <c r="B176" t="str">
        <f ca="1">IF(LOWER(LEFT(TRIM(tbl_Lifestyle[[#This Row],[activities]]),1))="y","yes","no")</f>
        <v>yes</v>
      </c>
      <c r="C176" t="s">
        <v>12</v>
      </c>
      <c r="D176" t="s">
        <v>11</v>
      </c>
      <c r="E176">
        <v>4</v>
      </c>
      <c r="F176">
        <v>4</v>
      </c>
      <c r="G176">
        <v>5</v>
      </c>
      <c r="H176">
        <v>1</v>
      </c>
      <c r="I176">
        <v>1</v>
      </c>
      <c r="J176">
        <v>4</v>
      </c>
      <c r="K176">
        <v>4</v>
      </c>
    </row>
    <row r="177" spans="1:11" x14ac:dyDescent="0.35">
      <c r="A177">
        <v>176</v>
      </c>
      <c r="B177" t="str">
        <f ca="1">IF(LOWER(LEFT(TRIM(tbl_Lifestyle[[#This Row],[activities]]),1))="y","yes","no")</f>
        <v>yes</v>
      </c>
      <c r="C177" t="s">
        <v>12</v>
      </c>
      <c r="D177" t="s">
        <v>11</v>
      </c>
      <c r="E177">
        <v>4</v>
      </c>
      <c r="F177">
        <v>4</v>
      </c>
      <c r="G177">
        <v>4</v>
      </c>
      <c r="H177">
        <v>4</v>
      </c>
      <c r="I177">
        <v>4</v>
      </c>
      <c r="J177">
        <v>4</v>
      </c>
      <c r="K177">
        <v>4</v>
      </c>
    </row>
    <row r="178" spans="1:11" x14ac:dyDescent="0.35">
      <c r="A178">
        <v>177</v>
      </c>
      <c r="B178" t="str">
        <f ca="1">IF(LOWER(LEFT(TRIM(tbl_Lifestyle[[#This Row],[activities]]),1))="y","yes","no")</f>
        <v>yes</v>
      </c>
      <c r="C178" t="s">
        <v>12</v>
      </c>
      <c r="D178" t="s">
        <v>11</v>
      </c>
      <c r="E178">
        <v>3</v>
      </c>
      <c r="F178">
        <v>4</v>
      </c>
      <c r="G178">
        <v>4</v>
      </c>
      <c r="H178">
        <v>1</v>
      </c>
      <c r="I178">
        <v>4</v>
      </c>
      <c r="J178">
        <v>5</v>
      </c>
      <c r="K178">
        <v>2</v>
      </c>
    </row>
    <row r="179" spans="1:11" x14ac:dyDescent="0.35">
      <c r="A179">
        <v>178</v>
      </c>
      <c r="B179" t="str">
        <f ca="1">IF(LOWER(LEFT(TRIM(tbl_Lifestyle[[#This Row],[activities]]),1))="y","yes","no")</f>
        <v>yes</v>
      </c>
      <c r="C179" t="s">
        <v>12</v>
      </c>
      <c r="D179" t="s">
        <v>11</v>
      </c>
      <c r="E179">
        <v>4</v>
      </c>
      <c r="F179">
        <v>3</v>
      </c>
      <c r="G179">
        <v>4</v>
      </c>
      <c r="H179">
        <v>1</v>
      </c>
      <c r="I179">
        <v>4</v>
      </c>
      <c r="J179">
        <v>4</v>
      </c>
      <c r="K179">
        <v>4</v>
      </c>
    </row>
    <row r="180" spans="1:11" x14ac:dyDescent="0.35">
      <c r="A180">
        <v>179</v>
      </c>
      <c r="B180" t="str">
        <f ca="1">IF(LOWER(LEFT(TRIM(tbl_Lifestyle[[#This Row],[activities]]),1))="y","yes","no")</f>
        <v>yes</v>
      </c>
      <c r="C180" t="s">
        <v>12</v>
      </c>
      <c r="D180" t="s">
        <v>12</v>
      </c>
      <c r="E180">
        <v>4</v>
      </c>
      <c r="F180">
        <v>3</v>
      </c>
      <c r="G180">
        <v>3</v>
      </c>
      <c r="H180">
        <v>3</v>
      </c>
      <c r="I180">
        <v>4</v>
      </c>
      <c r="J180">
        <v>3</v>
      </c>
      <c r="K180">
        <v>10</v>
      </c>
    </row>
    <row r="181" spans="1:11" x14ac:dyDescent="0.35">
      <c r="A181">
        <v>180</v>
      </c>
      <c r="B181" t="str">
        <f ca="1">IF(LOWER(LEFT(TRIM(tbl_Lifestyle[[#This Row],[activities]]),1))="y","yes","no")</f>
        <v>yes</v>
      </c>
      <c r="C181" t="s">
        <v>12</v>
      </c>
      <c r="D181" t="s">
        <v>12</v>
      </c>
      <c r="E181">
        <v>5</v>
      </c>
      <c r="F181">
        <v>2</v>
      </c>
      <c r="G181">
        <v>3</v>
      </c>
      <c r="H181">
        <v>1</v>
      </c>
      <c r="I181">
        <v>1</v>
      </c>
      <c r="J181">
        <v>2</v>
      </c>
      <c r="K181">
        <v>4</v>
      </c>
    </row>
    <row r="182" spans="1:11" x14ac:dyDescent="0.35">
      <c r="A182">
        <v>181</v>
      </c>
      <c r="B182" t="str">
        <f ca="1">IF(LOWER(LEFT(TRIM(tbl_Lifestyle[[#This Row],[activities]]),1))="y","yes","no")</f>
        <v>yes</v>
      </c>
      <c r="C182" t="s">
        <v>12</v>
      </c>
      <c r="D182" t="s">
        <v>11</v>
      </c>
      <c r="E182">
        <v>3</v>
      </c>
      <c r="F182">
        <v>4</v>
      </c>
      <c r="G182">
        <v>3</v>
      </c>
      <c r="H182">
        <v>2</v>
      </c>
      <c r="I182">
        <v>3</v>
      </c>
      <c r="J182">
        <v>3</v>
      </c>
      <c r="K182">
        <v>10</v>
      </c>
    </row>
    <row r="183" spans="1:11" x14ac:dyDescent="0.35">
      <c r="A183">
        <v>182</v>
      </c>
      <c r="B183" t="str">
        <f ca="1">IF(LOWER(LEFT(TRIM(tbl_Lifestyle[[#This Row],[activities]]),1))="y","yes","no")</f>
        <v>yes</v>
      </c>
      <c r="C183" t="s">
        <v>12</v>
      </c>
      <c r="D183" t="s">
        <v>12</v>
      </c>
      <c r="E183">
        <v>4</v>
      </c>
      <c r="F183">
        <v>2</v>
      </c>
      <c r="G183">
        <v>3</v>
      </c>
      <c r="H183">
        <v>1</v>
      </c>
      <c r="I183">
        <v>2</v>
      </c>
      <c r="J183">
        <v>3</v>
      </c>
      <c r="K183">
        <v>2</v>
      </c>
    </row>
    <row r="184" spans="1:11" x14ac:dyDescent="0.35">
      <c r="A184">
        <v>183</v>
      </c>
      <c r="B184" t="str">
        <f ca="1">IF(LOWER(LEFT(TRIM(tbl_Lifestyle[[#This Row],[activities]]),1))="y","yes","no")</f>
        <v>yes</v>
      </c>
      <c r="C184" t="s">
        <v>11</v>
      </c>
      <c r="D184" t="s">
        <v>11</v>
      </c>
      <c r="E184">
        <v>5</v>
      </c>
      <c r="F184">
        <v>4</v>
      </c>
      <c r="G184">
        <v>2</v>
      </c>
      <c r="H184">
        <v>2</v>
      </c>
      <c r="I184">
        <v>3</v>
      </c>
      <c r="J184">
        <v>5</v>
      </c>
      <c r="K184">
        <v>0</v>
      </c>
    </row>
    <row r="185" spans="1:11" x14ac:dyDescent="0.35">
      <c r="A185">
        <v>184</v>
      </c>
      <c r="B185" t="str">
        <f ca="1">IF(LOWER(LEFT(TRIM(tbl_Lifestyle[[#This Row],[activities]]),1))="y","yes","no")</f>
        <v>yes</v>
      </c>
      <c r="C185" t="s">
        <v>12</v>
      </c>
      <c r="D185" t="s">
        <v>12</v>
      </c>
      <c r="E185">
        <v>5</v>
      </c>
      <c r="F185">
        <v>3</v>
      </c>
      <c r="G185">
        <v>3</v>
      </c>
      <c r="H185">
        <v>2</v>
      </c>
      <c r="I185">
        <v>3</v>
      </c>
      <c r="J185">
        <v>1</v>
      </c>
      <c r="K185">
        <v>56</v>
      </c>
    </row>
    <row r="186" spans="1:11" x14ac:dyDescent="0.35">
      <c r="A186">
        <v>185</v>
      </c>
      <c r="B186" t="str">
        <f ca="1">IF(LOWER(LEFT(TRIM(tbl_Lifestyle[[#This Row],[activities]]),1))="y","yes","no")</f>
        <v>no</v>
      </c>
      <c r="C186" t="s">
        <v>12</v>
      </c>
      <c r="D186" t="s">
        <v>11</v>
      </c>
      <c r="E186">
        <v>1</v>
      </c>
      <c r="F186">
        <v>2</v>
      </c>
      <c r="G186">
        <v>2</v>
      </c>
      <c r="H186">
        <v>1</v>
      </c>
      <c r="I186">
        <v>2</v>
      </c>
      <c r="J186">
        <v>1</v>
      </c>
      <c r="K186">
        <v>14</v>
      </c>
    </row>
    <row r="187" spans="1:11" x14ac:dyDescent="0.35">
      <c r="A187">
        <v>186</v>
      </c>
      <c r="B187" t="str">
        <f ca="1">IF(LOWER(LEFT(TRIM(tbl_Lifestyle[[#This Row],[activities]]),1))="y","yes","no")</f>
        <v>yes</v>
      </c>
      <c r="C187" t="s">
        <v>12</v>
      </c>
      <c r="D187" t="s">
        <v>12</v>
      </c>
      <c r="E187">
        <v>4</v>
      </c>
      <c r="F187">
        <v>3</v>
      </c>
      <c r="G187">
        <v>4</v>
      </c>
      <c r="H187">
        <v>2</v>
      </c>
      <c r="I187">
        <v>3</v>
      </c>
      <c r="J187">
        <v>4</v>
      </c>
      <c r="K187">
        <v>12</v>
      </c>
    </row>
    <row r="188" spans="1:11" x14ac:dyDescent="0.35">
      <c r="A188">
        <v>187</v>
      </c>
      <c r="B188" t="str">
        <f ca="1">IF(LOWER(LEFT(TRIM(tbl_Lifestyle[[#This Row],[activities]]),1))="y","yes","no")</f>
        <v>yes</v>
      </c>
      <c r="C188" t="s">
        <v>12</v>
      </c>
      <c r="D188" t="s">
        <v>12</v>
      </c>
      <c r="E188">
        <v>3</v>
      </c>
      <c r="F188">
        <v>3</v>
      </c>
      <c r="G188">
        <v>3</v>
      </c>
      <c r="H188">
        <v>1</v>
      </c>
      <c r="I188">
        <v>2</v>
      </c>
      <c r="J188">
        <v>3</v>
      </c>
      <c r="K188">
        <v>2</v>
      </c>
    </row>
    <row r="189" spans="1:11" x14ac:dyDescent="0.35">
      <c r="A189">
        <v>188</v>
      </c>
      <c r="B189" t="str">
        <f ca="1">IF(LOWER(LEFT(TRIM(tbl_Lifestyle[[#This Row],[activities]]),1))="y","yes","no")</f>
        <v>yes</v>
      </c>
      <c r="C189" t="s">
        <v>12</v>
      </c>
      <c r="D189" t="s">
        <v>12</v>
      </c>
      <c r="E189">
        <v>4</v>
      </c>
      <c r="F189">
        <v>2</v>
      </c>
      <c r="G189">
        <v>3</v>
      </c>
      <c r="H189">
        <v>1</v>
      </c>
      <c r="I189">
        <v>2</v>
      </c>
      <c r="J189">
        <v>5</v>
      </c>
      <c r="K189">
        <v>0</v>
      </c>
    </row>
    <row r="190" spans="1:11" x14ac:dyDescent="0.35">
      <c r="A190">
        <v>189</v>
      </c>
      <c r="B190" t="str">
        <f ca="1">IF(LOWER(LEFT(TRIM(tbl_Lifestyle[[#This Row],[activities]]),1))="y","yes","no")</f>
        <v>no</v>
      </c>
      <c r="C190" t="s">
        <v>12</v>
      </c>
      <c r="D190" t="s">
        <v>12</v>
      </c>
      <c r="E190">
        <v>3</v>
      </c>
      <c r="F190">
        <v>3</v>
      </c>
      <c r="G190">
        <v>3</v>
      </c>
      <c r="H190">
        <v>1</v>
      </c>
      <c r="I190">
        <v>3</v>
      </c>
      <c r="J190">
        <v>3</v>
      </c>
      <c r="K190">
        <v>6</v>
      </c>
    </row>
    <row r="191" spans="1:11" x14ac:dyDescent="0.35">
      <c r="A191">
        <v>190</v>
      </c>
      <c r="B191" t="str">
        <f ca="1">IF(LOWER(LEFT(TRIM(tbl_Lifestyle[[#This Row],[activities]]),1))="y","yes","no")</f>
        <v>no</v>
      </c>
      <c r="C191" t="s">
        <v>11</v>
      </c>
      <c r="D191" t="s">
        <v>11</v>
      </c>
      <c r="E191">
        <v>3</v>
      </c>
      <c r="F191">
        <v>1</v>
      </c>
      <c r="G191">
        <v>3</v>
      </c>
      <c r="H191">
        <v>1</v>
      </c>
      <c r="I191">
        <v>5</v>
      </c>
      <c r="J191">
        <v>3</v>
      </c>
      <c r="K191">
        <v>4</v>
      </c>
    </row>
    <row r="192" spans="1:11" x14ac:dyDescent="0.35">
      <c r="A192">
        <v>191</v>
      </c>
      <c r="B192" t="str">
        <f ca="1">IF(LOWER(LEFT(TRIM(tbl_Lifestyle[[#This Row],[activities]]),1))="y","yes","no")</f>
        <v>no</v>
      </c>
      <c r="C192" t="s">
        <v>12</v>
      </c>
      <c r="D192" t="s">
        <v>11</v>
      </c>
      <c r="E192">
        <v>4</v>
      </c>
      <c r="F192">
        <v>3</v>
      </c>
      <c r="G192">
        <v>3</v>
      </c>
      <c r="H192">
        <v>1</v>
      </c>
      <c r="I192">
        <v>1</v>
      </c>
      <c r="J192">
        <v>2</v>
      </c>
      <c r="K192">
        <v>10</v>
      </c>
    </row>
    <row r="193" spans="1:11" x14ac:dyDescent="0.35">
      <c r="A193">
        <v>192</v>
      </c>
      <c r="B193" t="str">
        <f ca="1">IF(LOWER(LEFT(TRIM(tbl_Lifestyle[[#This Row],[activities]]),1))="y","yes","no")</f>
        <v>yes</v>
      </c>
      <c r="C193" t="s">
        <v>12</v>
      </c>
      <c r="D193" t="s">
        <v>11</v>
      </c>
      <c r="E193">
        <v>5</v>
      </c>
      <c r="F193">
        <v>3</v>
      </c>
      <c r="G193">
        <v>3</v>
      </c>
      <c r="H193">
        <v>1</v>
      </c>
      <c r="I193">
        <v>1</v>
      </c>
      <c r="J193">
        <v>3</v>
      </c>
      <c r="K193">
        <v>0</v>
      </c>
    </row>
    <row r="194" spans="1:11" x14ac:dyDescent="0.35">
      <c r="A194">
        <v>193</v>
      </c>
      <c r="B194" t="str">
        <f ca="1">IF(LOWER(LEFT(TRIM(tbl_Lifestyle[[#This Row],[activities]]),1))="y","yes","no")</f>
        <v>yes</v>
      </c>
      <c r="C194" t="s">
        <v>12</v>
      </c>
      <c r="D194" t="s">
        <v>11</v>
      </c>
      <c r="E194">
        <v>4</v>
      </c>
      <c r="F194">
        <v>4</v>
      </c>
      <c r="G194">
        <v>4</v>
      </c>
      <c r="H194">
        <v>4</v>
      </c>
      <c r="I194">
        <v>5</v>
      </c>
      <c r="J194">
        <v>5</v>
      </c>
      <c r="K194">
        <v>12</v>
      </c>
    </row>
    <row r="195" spans="1:11" x14ac:dyDescent="0.35">
      <c r="A195">
        <v>194</v>
      </c>
      <c r="B195" t="str">
        <f ca="1">IF(LOWER(LEFT(TRIM(tbl_Lifestyle[[#This Row],[activities]]),1))="y","yes","no")</f>
        <v>yes</v>
      </c>
      <c r="C195" t="s">
        <v>12</v>
      </c>
      <c r="D195" t="s">
        <v>11</v>
      </c>
      <c r="E195">
        <v>4</v>
      </c>
      <c r="F195">
        <v>3</v>
      </c>
      <c r="G195">
        <v>2</v>
      </c>
      <c r="H195">
        <v>3</v>
      </c>
      <c r="I195">
        <v>4</v>
      </c>
      <c r="J195">
        <v>5</v>
      </c>
      <c r="K195">
        <v>8</v>
      </c>
    </row>
    <row r="196" spans="1:11" x14ac:dyDescent="0.35">
      <c r="A196">
        <v>195</v>
      </c>
      <c r="B196" t="str">
        <f ca="1">IF(LOWER(LEFT(TRIM(tbl_Lifestyle[[#This Row],[activities]]),1))="y","yes","no")</f>
        <v>no</v>
      </c>
      <c r="C196" t="s">
        <v>12</v>
      </c>
      <c r="D196" t="s">
        <v>11</v>
      </c>
      <c r="E196">
        <v>5</v>
      </c>
      <c r="F196">
        <v>3</v>
      </c>
      <c r="G196">
        <v>3</v>
      </c>
      <c r="H196">
        <v>1</v>
      </c>
      <c r="I196">
        <v>1</v>
      </c>
      <c r="J196">
        <v>3</v>
      </c>
      <c r="K196">
        <v>0</v>
      </c>
    </row>
    <row r="197" spans="1:11" x14ac:dyDescent="0.35">
      <c r="A197">
        <v>196</v>
      </c>
      <c r="B197" t="str">
        <f ca="1">IF(LOWER(LEFT(TRIM(tbl_Lifestyle[[#This Row],[activities]]),1))="y","yes","no")</f>
        <v>yes</v>
      </c>
      <c r="C197" t="s">
        <v>12</v>
      </c>
      <c r="D197" t="s">
        <v>12</v>
      </c>
      <c r="E197">
        <v>4</v>
      </c>
      <c r="F197">
        <v>3</v>
      </c>
      <c r="G197">
        <v>2</v>
      </c>
      <c r="H197">
        <v>1</v>
      </c>
      <c r="I197">
        <v>1</v>
      </c>
      <c r="J197">
        <v>5</v>
      </c>
      <c r="K197">
        <v>0</v>
      </c>
    </row>
    <row r="198" spans="1:11" x14ac:dyDescent="0.35">
      <c r="A198">
        <v>197</v>
      </c>
      <c r="B198" t="str">
        <f ca="1">IF(LOWER(LEFT(TRIM(tbl_Lifestyle[[#This Row],[activities]]),1))="y","yes","no")</f>
        <v>no</v>
      </c>
      <c r="C198" t="s">
        <v>12</v>
      </c>
      <c r="D198" t="s">
        <v>11</v>
      </c>
      <c r="E198">
        <v>5</v>
      </c>
      <c r="F198">
        <v>2</v>
      </c>
      <c r="G198">
        <v>3</v>
      </c>
      <c r="H198">
        <v>1</v>
      </c>
      <c r="I198">
        <v>2</v>
      </c>
      <c r="J198">
        <v>5</v>
      </c>
      <c r="K198">
        <v>4</v>
      </c>
    </row>
    <row r="199" spans="1:11" x14ac:dyDescent="0.35">
      <c r="A199">
        <v>198</v>
      </c>
      <c r="B199" t="str">
        <f ca="1">IF(LOWER(LEFT(TRIM(tbl_Lifestyle[[#This Row],[activities]]),1))="y","yes","no")</f>
        <v>yes</v>
      </c>
      <c r="C199" t="s">
        <v>12</v>
      </c>
      <c r="D199" t="s">
        <v>11</v>
      </c>
      <c r="E199">
        <v>3</v>
      </c>
      <c r="F199">
        <v>3</v>
      </c>
      <c r="G199">
        <v>4</v>
      </c>
      <c r="H199">
        <v>3</v>
      </c>
      <c r="I199">
        <v>5</v>
      </c>
      <c r="J199">
        <v>3</v>
      </c>
      <c r="K199">
        <v>8</v>
      </c>
    </row>
    <row r="200" spans="1:11" x14ac:dyDescent="0.35">
      <c r="A200">
        <v>199</v>
      </c>
      <c r="B200" t="str">
        <f ca="1">IF(LOWER(LEFT(TRIM(tbl_Lifestyle[[#This Row],[activities]]),1))="y","yes","no")</f>
        <v>no</v>
      </c>
      <c r="C200" t="s">
        <v>12</v>
      </c>
      <c r="D200" t="s">
        <v>11</v>
      </c>
      <c r="E200">
        <v>4</v>
      </c>
      <c r="F200">
        <v>2</v>
      </c>
      <c r="G200">
        <v>4</v>
      </c>
      <c r="H200">
        <v>2</v>
      </c>
      <c r="I200">
        <v>3</v>
      </c>
      <c r="J200">
        <v>2</v>
      </c>
      <c r="K200">
        <v>24</v>
      </c>
    </row>
    <row r="201" spans="1:11" x14ac:dyDescent="0.35">
      <c r="A201">
        <v>200</v>
      </c>
      <c r="B201" t="str">
        <f ca="1">IF(LOWER(LEFT(TRIM(tbl_Lifestyle[[#This Row],[activities]]),1))="y","yes","no")</f>
        <v>no</v>
      </c>
      <c r="C201" t="s">
        <v>12</v>
      </c>
      <c r="D201" t="s">
        <v>11</v>
      </c>
      <c r="E201">
        <v>4</v>
      </c>
      <c r="F201">
        <v>5</v>
      </c>
      <c r="G201">
        <v>2</v>
      </c>
      <c r="H201">
        <v>1</v>
      </c>
      <c r="I201">
        <v>2</v>
      </c>
      <c r="J201">
        <v>3</v>
      </c>
      <c r="K201">
        <v>0</v>
      </c>
    </row>
    <row r="202" spans="1:11" x14ac:dyDescent="0.35">
      <c r="A202">
        <v>201</v>
      </c>
      <c r="B202" t="str">
        <f ca="1">IF(LOWER(LEFT(TRIM(tbl_Lifestyle[[#This Row],[activities]]),1))="y","yes","no")</f>
        <v>yes</v>
      </c>
      <c r="C202" t="s">
        <v>12</v>
      </c>
      <c r="D202" t="s">
        <v>11</v>
      </c>
      <c r="E202">
        <v>4</v>
      </c>
      <c r="F202">
        <v>3</v>
      </c>
      <c r="G202">
        <v>5</v>
      </c>
      <c r="H202">
        <v>1</v>
      </c>
      <c r="I202">
        <v>5</v>
      </c>
      <c r="J202">
        <v>2</v>
      </c>
      <c r="K202">
        <v>2</v>
      </c>
    </row>
    <row r="203" spans="1:11" x14ac:dyDescent="0.35">
      <c r="A203">
        <v>202</v>
      </c>
      <c r="B203" t="str">
        <f ca="1">IF(LOWER(LEFT(TRIM(tbl_Lifestyle[[#This Row],[activities]]),1))="y","yes","no")</f>
        <v>yes</v>
      </c>
      <c r="C203" t="s">
        <v>11</v>
      </c>
      <c r="D203" t="s">
        <v>11</v>
      </c>
      <c r="E203">
        <v>4</v>
      </c>
      <c r="F203">
        <v>4</v>
      </c>
      <c r="G203">
        <v>3</v>
      </c>
      <c r="H203">
        <v>1</v>
      </c>
      <c r="I203">
        <v>3</v>
      </c>
      <c r="J203">
        <v>4</v>
      </c>
      <c r="K203">
        <v>6</v>
      </c>
    </row>
    <row r="204" spans="1:11" x14ac:dyDescent="0.35">
      <c r="A204">
        <v>203</v>
      </c>
      <c r="B204" t="str">
        <f ca="1">IF(LOWER(LEFT(TRIM(tbl_Lifestyle[[#This Row],[activities]]),1))="y","yes","no")</f>
        <v>no</v>
      </c>
      <c r="C204" t="s">
        <v>11</v>
      </c>
      <c r="D204" t="s">
        <v>11</v>
      </c>
      <c r="E204">
        <v>4</v>
      </c>
      <c r="F204">
        <v>4</v>
      </c>
      <c r="G204">
        <v>4</v>
      </c>
      <c r="H204">
        <v>1</v>
      </c>
      <c r="I204">
        <v>3</v>
      </c>
      <c r="J204">
        <v>1</v>
      </c>
      <c r="K204">
        <v>4</v>
      </c>
    </row>
    <row r="205" spans="1:11" x14ac:dyDescent="0.35">
      <c r="A205">
        <v>204</v>
      </c>
      <c r="B205" t="str">
        <f ca="1">IF(LOWER(LEFT(TRIM(tbl_Lifestyle[[#This Row],[activities]]),1))="y","yes","no")</f>
        <v>no</v>
      </c>
      <c r="C205" t="s">
        <v>12</v>
      </c>
      <c r="D205" t="s">
        <v>11</v>
      </c>
      <c r="E205">
        <v>5</v>
      </c>
      <c r="F205">
        <v>3</v>
      </c>
      <c r="G205">
        <v>2</v>
      </c>
      <c r="H205">
        <v>1</v>
      </c>
      <c r="I205">
        <v>2</v>
      </c>
      <c r="J205">
        <v>3</v>
      </c>
      <c r="K205">
        <v>18</v>
      </c>
    </row>
    <row r="206" spans="1:11" x14ac:dyDescent="0.35">
      <c r="A206">
        <v>205</v>
      </c>
      <c r="B206" t="str">
        <f ca="1">IF(LOWER(LEFT(TRIM(tbl_Lifestyle[[#This Row],[activities]]),1))="y","yes","no")</f>
        <v>yes</v>
      </c>
      <c r="C206" t="s">
        <v>12</v>
      </c>
      <c r="D206" t="s">
        <v>11</v>
      </c>
      <c r="E206">
        <v>5</v>
      </c>
      <c r="F206">
        <v>3</v>
      </c>
      <c r="G206">
        <v>5</v>
      </c>
      <c r="H206">
        <v>1</v>
      </c>
      <c r="I206">
        <v>1</v>
      </c>
      <c r="J206">
        <v>5</v>
      </c>
      <c r="K206">
        <v>6</v>
      </c>
    </row>
    <row r="207" spans="1:11" x14ac:dyDescent="0.35">
      <c r="A207">
        <v>206</v>
      </c>
      <c r="B207" t="str">
        <f ca="1">IF(LOWER(LEFT(TRIM(tbl_Lifestyle[[#This Row],[activities]]),1))="y","yes","no")</f>
        <v>no</v>
      </c>
      <c r="C207" t="s">
        <v>12</v>
      </c>
      <c r="D207" t="s">
        <v>12</v>
      </c>
      <c r="E207">
        <v>4</v>
      </c>
      <c r="F207">
        <v>4</v>
      </c>
      <c r="G207">
        <v>3</v>
      </c>
      <c r="H207">
        <v>3</v>
      </c>
      <c r="I207">
        <v>4</v>
      </c>
      <c r="J207">
        <v>5</v>
      </c>
      <c r="K207">
        <v>28</v>
      </c>
    </row>
    <row r="208" spans="1:11" x14ac:dyDescent="0.35">
      <c r="A208">
        <v>207</v>
      </c>
      <c r="B208" t="str">
        <f ca="1">IF(LOWER(LEFT(TRIM(tbl_Lifestyle[[#This Row],[activities]]),1))="y","yes","no")</f>
        <v>no</v>
      </c>
      <c r="C208" t="s">
        <v>12</v>
      </c>
      <c r="D208" t="s">
        <v>11</v>
      </c>
      <c r="E208">
        <v>2</v>
      </c>
      <c r="F208">
        <v>3</v>
      </c>
      <c r="G208">
        <v>3</v>
      </c>
      <c r="H208">
        <v>2</v>
      </c>
      <c r="I208">
        <v>2</v>
      </c>
      <c r="J208">
        <v>4</v>
      </c>
      <c r="K208">
        <v>5</v>
      </c>
    </row>
    <row r="209" spans="1:11" x14ac:dyDescent="0.35">
      <c r="A209">
        <v>208</v>
      </c>
      <c r="B209" t="str">
        <f ca="1">IF(LOWER(LEFT(TRIM(tbl_Lifestyle[[#This Row],[activities]]),1))="y","yes","no")</f>
        <v>yes</v>
      </c>
      <c r="C209" t="s">
        <v>12</v>
      </c>
      <c r="D209" t="s">
        <v>12</v>
      </c>
      <c r="E209">
        <v>1</v>
      </c>
      <c r="F209">
        <v>3</v>
      </c>
      <c r="G209">
        <v>2</v>
      </c>
      <c r="H209">
        <v>1</v>
      </c>
      <c r="I209">
        <v>1</v>
      </c>
      <c r="J209">
        <v>1</v>
      </c>
      <c r="K209">
        <v>10</v>
      </c>
    </row>
    <row r="210" spans="1:11" x14ac:dyDescent="0.35">
      <c r="A210">
        <v>209</v>
      </c>
      <c r="B210" t="str">
        <f ca="1">IF(LOWER(LEFT(TRIM(tbl_Lifestyle[[#This Row],[activities]]),1))="y","yes","no")</f>
        <v>no</v>
      </c>
      <c r="C210" t="s">
        <v>11</v>
      </c>
      <c r="D210" t="s">
        <v>11</v>
      </c>
      <c r="E210">
        <v>4</v>
      </c>
      <c r="F210">
        <v>3</v>
      </c>
      <c r="G210">
        <v>2</v>
      </c>
      <c r="H210">
        <v>1</v>
      </c>
      <c r="I210">
        <v>4</v>
      </c>
      <c r="J210">
        <v>5</v>
      </c>
      <c r="K210">
        <v>6</v>
      </c>
    </row>
    <row r="211" spans="1:11" x14ac:dyDescent="0.35">
      <c r="A211">
        <v>210</v>
      </c>
      <c r="B211" t="str">
        <f ca="1">IF(LOWER(LEFT(TRIM(tbl_Lifestyle[[#This Row],[activities]]),1))="y","yes","no")</f>
        <v>yes</v>
      </c>
      <c r="C211" t="s">
        <v>12</v>
      </c>
      <c r="D211" t="s">
        <v>12</v>
      </c>
      <c r="E211">
        <v>4</v>
      </c>
      <c r="F211">
        <v>4</v>
      </c>
      <c r="G211">
        <v>2</v>
      </c>
      <c r="H211">
        <v>1</v>
      </c>
      <c r="I211">
        <v>1</v>
      </c>
      <c r="J211">
        <v>4</v>
      </c>
      <c r="K211">
        <v>6</v>
      </c>
    </row>
    <row r="212" spans="1:11" x14ac:dyDescent="0.35">
      <c r="A212">
        <v>211</v>
      </c>
      <c r="B212" t="str">
        <f ca="1">IF(LOWER(LEFT(TRIM(tbl_Lifestyle[[#This Row],[activities]]),1))="y","yes","no")</f>
        <v>yes</v>
      </c>
      <c r="C212" t="s">
        <v>12</v>
      </c>
      <c r="D212" t="s">
        <v>11</v>
      </c>
      <c r="E212">
        <v>4</v>
      </c>
      <c r="F212">
        <v>3</v>
      </c>
      <c r="G212">
        <v>3</v>
      </c>
      <c r="H212">
        <v>1</v>
      </c>
      <c r="I212">
        <v>2</v>
      </c>
      <c r="J212">
        <v>3</v>
      </c>
      <c r="K212">
        <v>10</v>
      </c>
    </row>
    <row r="213" spans="1:11" x14ac:dyDescent="0.35">
      <c r="A213">
        <v>212</v>
      </c>
      <c r="B213" t="str">
        <f ca="1">IF(LOWER(LEFT(TRIM(tbl_Lifestyle[[#This Row],[activities]]),1))="y","yes","no")</f>
        <v>no</v>
      </c>
      <c r="C213" t="s">
        <v>12</v>
      </c>
      <c r="D213" t="s">
        <v>12</v>
      </c>
      <c r="E213">
        <v>5</v>
      </c>
      <c r="F213">
        <v>3</v>
      </c>
      <c r="G213">
        <v>5</v>
      </c>
      <c r="H213">
        <v>4</v>
      </c>
      <c r="I213">
        <v>5</v>
      </c>
      <c r="J213">
        <v>3</v>
      </c>
      <c r="K213">
        <v>13</v>
      </c>
    </row>
    <row r="214" spans="1:11" x14ac:dyDescent="0.35">
      <c r="A214">
        <v>213</v>
      </c>
      <c r="B214" t="str">
        <f ca="1">IF(LOWER(LEFT(TRIM(tbl_Lifestyle[[#This Row],[activities]]),1))="y","yes","no")</f>
        <v>no</v>
      </c>
      <c r="C214" t="s">
        <v>12</v>
      </c>
      <c r="D214" t="s">
        <v>11</v>
      </c>
      <c r="E214">
        <v>3</v>
      </c>
      <c r="F214">
        <v>3</v>
      </c>
      <c r="G214">
        <v>4</v>
      </c>
      <c r="H214">
        <v>1</v>
      </c>
      <c r="I214">
        <v>1</v>
      </c>
      <c r="J214">
        <v>4</v>
      </c>
      <c r="K214">
        <v>0</v>
      </c>
    </row>
    <row r="215" spans="1:11" x14ac:dyDescent="0.35">
      <c r="A215">
        <v>214</v>
      </c>
      <c r="B215" t="str">
        <f ca="1">IF(LOWER(LEFT(TRIM(tbl_Lifestyle[[#This Row],[activities]]),1))="y","yes","no")</f>
        <v>yes</v>
      </c>
      <c r="C215" t="s">
        <v>12</v>
      </c>
      <c r="D215" t="s">
        <v>11</v>
      </c>
      <c r="E215">
        <v>4</v>
      </c>
      <c r="F215">
        <v>4</v>
      </c>
      <c r="G215">
        <v>4</v>
      </c>
      <c r="H215">
        <v>2</v>
      </c>
      <c r="I215">
        <v>4</v>
      </c>
      <c r="J215">
        <v>5</v>
      </c>
      <c r="K215">
        <v>15</v>
      </c>
    </row>
    <row r="216" spans="1:11" x14ac:dyDescent="0.35">
      <c r="A216">
        <v>215</v>
      </c>
      <c r="B216" t="str">
        <f ca="1">IF(LOWER(LEFT(TRIM(tbl_Lifestyle[[#This Row],[activities]]),1))="y","yes","no")</f>
        <v>no</v>
      </c>
      <c r="C216" t="s">
        <v>11</v>
      </c>
      <c r="D216" t="s">
        <v>11</v>
      </c>
      <c r="E216">
        <v>5</v>
      </c>
      <c r="F216">
        <v>2</v>
      </c>
      <c r="G216">
        <v>1</v>
      </c>
      <c r="H216">
        <v>1</v>
      </c>
      <c r="I216">
        <v>2</v>
      </c>
      <c r="J216">
        <v>3</v>
      </c>
      <c r="K216">
        <v>12</v>
      </c>
    </row>
    <row r="217" spans="1:11" x14ac:dyDescent="0.35">
      <c r="A217">
        <v>216</v>
      </c>
      <c r="B217" t="str">
        <f ca="1">IF(LOWER(LEFT(TRIM(tbl_Lifestyle[[#This Row],[activities]]),1))="y","yes","no")</f>
        <v>no</v>
      </c>
      <c r="C217" t="s">
        <v>12</v>
      </c>
      <c r="D217" t="s">
        <v>11</v>
      </c>
      <c r="E217">
        <v>4</v>
      </c>
      <c r="F217">
        <v>4</v>
      </c>
      <c r="G217">
        <v>4</v>
      </c>
      <c r="H217">
        <v>1</v>
      </c>
      <c r="I217">
        <v>3</v>
      </c>
      <c r="J217">
        <v>1</v>
      </c>
      <c r="K217">
        <v>2</v>
      </c>
    </row>
    <row r="218" spans="1:11" x14ac:dyDescent="0.35">
      <c r="A218">
        <v>217</v>
      </c>
      <c r="B218" t="str">
        <f ca="1">IF(LOWER(LEFT(TRIM(tbl_Lifestyle[[#This Row],[activities]]),1))="y","yes","no")</f>
        <v>no</v>
      </c>
      <c r="C218" t="s">
        <v>114</v>
      </c>
      <c r="D218" t="s">
        <v>12</v>
      </c>
      <c r="E218">
        <v>3</v>
      </c>
      <c r="F218">
        <v>4</v>
      </c>
      <c r="G218">
        <v>5</v>
      </c>
      <c r="H218">
        <v>2</v>
      </c>
      <c r="I218">
        <v>4</v>
      </c>
      <c r="J218">
        <v>1</v>
      </c>
      <c r="K218">
        <v>0</v>
      </c>
    </row>
    <row r="219" spans="1:11" x14ac:dyDescent="0.35">
      <c r="A219">
        <v>218</v>
      </c>
      <c r="B219" t="str">
        <f ca="1">IF(LOWER(LEFT(TRIM(tbl_Lifestyle[[#This Row],[activities]]),1))="y","yes","no")</f>
        <v>no</v>
      </c>
      <c r="C219" t="s">
        <v>12</v>
      </c>
      <c r="D219" t="s">
        <v>11</v>
      </c>
      <c r="E219">
        <v>3</v>
      </c>
      <c r="F219">
        <v>2</v>
      </c>
      <c r="G219">
        <v>4</v>
      </c>
      <c r="H219">
        <v>2</v>
      </c>
      <c r="I219">
        <v>4</v>
      </c>
      <c r="J219">
        <v>4</v>
      </c>
      <c r="K219">
        <v>13</v>
      </c>
    </row>
    <row r="220" spans="1:11" x14ac:dyDescent="0.35">
      <c r="A220">
        <v>219</v>
      </c>
      <c r="B220" t="str">
        <f ca="1">IF(LOWER(LEFT(TRIM(tbl_Lifestyle[[#This Row],[activities]]),1))="y","yes","no")</f>
        <v>no</v>
      </c>
      <c r="C220" t="s">
        <v>11</v>
      </c>
      <c r="D220" t="s">
        <v>11</v>
      </c>
      <c r="E220">
        <v>3</v>
      </c>
      <c r="F220">
        <v>3</v>
      </c>
      <c r="G220">
        <v>3</v>
      </c>
      <c r="H220">
        <v>1</v>
      </c>
      <c r="I220">
        <v>4</v>
      </c>
      <c r="J220">
        <v>3</v>
      </c>
      <c r="K220">
        <v>3</v>
      </c>
    </row>
    <row r="221" spans="1:11" x14ac:dyDescent="0.35">
      <c r="A221">
        <v>220</v>
      </c>
      <c r="B221" t="str">
        <f ca="1">IF(LOWER(LEFT(TRIM(tbl_Lifestyle[[#This Row],[activities]]),1))="y","yes","no")</f>
        <v>yes</v>
      </c>
      <c r="C221" t="s">
        <v>12</v>
      </c>
      <c r="D221" t="s">
        <v>11</v>
      </c>
      <c r="E221">
        <v>4</v>
      </c>
      <c r="F221">
        <v>3</v>
      </c>
      <c r="G221">
        <v>3</v>
      </c>
      <c r="H221">
        <v>1</v>
      </c>
      <c r="I221">
        <v>1</v>
      </c>
      <c r="J221">
        <v>4</v>
      </c>
      <c r="K221">
        <v>4</v>
      </c>
    </row>
    <row r="222" spans="1:11" x14ac:dyDescent="0.35">
      <c r="A222">
        <v>221</v>
      </c>
      <c r="B222" t="str">
        <f ca="1">IF(LOWER(LEFT(TRIM(tbl_Lifestyle[[#This Row],[activities]]),1))="y","yes","no")</f>
        <v>yes</v>
      </c>
      <c r="C222" t="s">
        <v>12</v>
      </c>
      <c r="D222" t="s">
        <v>11</v>
      </c>
      <c r="E222">
        <v>4</v>
      </c>
      <c r="F222">
        <v>2</v>
      </c>
      <c r="G222">
        <v>5</v>
      </c>
      <c r="H222">
        <v>1</v>
      </c>
      <c r="I222">
        <v>2</v>
      </c>
      <c r="J222">
        <v>5</v>
      </c>
      <c r="K222">
        <v>2</v>
      </c>
    </row>
    <row r="223" spans="1:11" x14ac:dyDescent="0.35">
      <c r="A223">
        <v>222</v>
      </c>
      <c r="B223" t="str">
        <f ca="1">IF(LOWER(LEFT(TRIM(tbl_Lifestyle[[#This Row],[activities]]),1))="y","yes","no")</f>
        <v>yes</v>
      </c>
      <c r="C223" t="s">
        <v>11</v>
      </c>
      <c r="D223" t="s">
        <v>12</v>
      </c>
      <c r="E223">
        <v>4</v>
      </c>
      <c r="F223">
        <v>3</v>
      </c>
      <c r="G223">
        <v>4</v>
      </c>
      <c r="H223">
        <v>1</v>
      </c>
      <c r="I223">
        <v>1</v>
      </c>
      <c r="J223">
        <v>5</v>
      </c>
      <c r="K223">
        <v>0</v>
      </c>
    </row>
    <row r="224" spans="1:11" x14ac:dyDescent="0.35">
      <c r="A224">
        <v>223</v>
      </c>
      <c r="B224" t="str">
        <f ca="1">IF(LOWER(LEFT(TRIM(tbl_Lifestyle[[#This Row],[activities]]),1))="y","yes","no")</f>
        <v>no</v>
      </c>
      <c r="C224" t="s">
        <v>12</v>
      </c>
      <c r="D224" t="s">
        <v>11</v>
      </c>
      <c r="E224">
        <v>2</v>
      </c>
      <c r="F224">
        <v>3</v>
      </c>
      <c r="G224">
        <v>1</v>
      </c>
      <c r="H224">
        <v>1</v>
      </c>
      <c r="I224">
        <v>1</v>
      </c>
      <c r="J224">
        <v>3</v>
      </c>
      <c r="K224">
        <v>2</v>
      </c>
    </row>
    <row r="225" spans="1:11" x14ac:dyDescent="0.35">
      <c r="A225">
        <v>224</v>
      </c>
      <c r="B225" t="str">
        <f ca="1">IF(LOWER(LEFT(TRIM(tbl_Lifestyle[[#This Row],[activities]]),1))="y","yes","no")</f>
        <v>no</v>
      </c>
      <c r="C225" t="s">
        <v>12</v>
      </c>
      <c r="D225" t="s">
        <v>11</v>
      </c>
      <c r="E225">
        <v>3</v>
      </c>
      <c r="F225">
        <v>3</v>
      </c>
      <c r="G225">
        <v>3</v>
      </c>
      <c r="H225">
        <v>5</v>
      </c>
      <c r="I225">
        <v>5</v>
      </c>
      <c r="J225">
        <v>4</v>
      </c>
      <c r="K225">
        <v>0</v>
      </c>
    </row>
    <row r="226" spans="1:11" x14ac:dyDescent="0.35">
      <c r="A226">
        <v>225</v>
      </c>
      <c r="B226" t="str">
        <f ca="1">IF(LOWER(LEFT(TRIM(tbl_Lifestyle[[#This Row],[activities]]),1))="y","yes","no")</f>
        <v>yes</v>
      </c>
      <c r="C226" t="s">
        <v>12</v>
      </c>
      <c r="D226" t="s">
        <v>11</v>
      </c>
      <c r="E226">
        <v>5</v>
      </c>
      <c r="F226">
        <v>3</v>
      </c>
      <c r="G226">
        <v>2</v>
      </c>
      <c r="H226">
        <v>1</v>
      </c>
      <c r="I226">
        <v>1</v>
      </c>
      <c r="J226">
        <v>5</v>
      </c>
      <c r="K226">
        <v>0</v>
      </c>
    </row>
    <row r="227" spans="1:11" x14ac:dyDescent="0.35">
      <c r="A227">
        <v>226</v>
      </c>
      <c r="B227" t="str">
        <f ca="1">IF(LOWER(LEFT(TRIM(tbl_Lifestyle[[#This Row],[activities]]),1))="y","yes","no")</f>
        <v>yes</v>
      </c>
      <c r="C227" t="s">
        <v>12</v>
      </c>
      <c r="D227" t="s">
        <v>12</v>
      </c>
      <c r="E227">
        <v>5</v>
      </c>
      <c r="F227">
        <v>3</v>
      </c>
      <c r="G227">
        <v>3</v>
      </c>
      <c r="H227">
        <v>1</v>
      </c>
      <c r="I227">
        <v>1</v>
      </c>
      <c r="J227">
        <v>4</v>
      </c>
      <c r="K227">
        <v>16</v>
      </c>
    </row>
    <row r="228" spans="1:11" x14ac:dyDescent="0.35">
      <c r="A228">
        <v>227</v>
      </c>
      <c r="B228" t="str">
        <f ca="1">IF(LOWER(LEFT(TRIM(tbl_Lifestyle[[#This Row],[activities]]),1))="y","yes","no")</f>
        <v>yes</v>
      </c>
      <c r="C228" t="s">
        <v>103</v>
      </c>
      <c r="D228" t="s">
        <v>11</v>
      </c>
      <c r="E228">
        <v>5</v>
      </c>
      <c r="F228">
        <v>3</v>
      </c>
      <c r="G228">
        <v>4</v>
      </c>
      <c r="H228">
        <v>1</v>
      </c>
      <c r="I228">
        <v>3</v>
      </c>
      <c r="J228">
        <v>3</v>
      </c>
      <c r="K228">
        <v>10</v>
      </c>
    </row>
    <row r="229" spans="1:11" x14ac:dyDescent="0.35">
      <c r="A229">
        <v>228</v>
      </c>
      <c r="B229" t="str">
        <f ca="1">IF(LOWER(LEFT(TRIM(tbl_Lifestyle[[#This Row],[activities]]),1))="y","yes","no")</f>
        <v>no</v>
      </c>
      <c r="C229" t="s">
        <v>12</v>
      </c>
      <c r="D229" t="s">
        <v>11</v>
      </c>
      <c r="E229">
        <v>5</v>
      </c>
      <c r="F229">
        <v>3</v>
      </c>
      <c r="G229">
        <v>3</v>
      </c>
      <c r="H229">
        <v>1</v>
      </c>
      <c r="I229">
        <v>3</v>
      </c>
      <c r="J229">
        <v>3</v>
      </c>
      <c r="K229">
        <v>2</v>
      </c>
    </row>
    <row r="230" spans="1:11" x14ac:dyDescent="0.35">
      <c r="A230">
        <v>229</v>
      </c>
      <c r="B230" t="str">
        <f ca="1">IF(LOWER(LEFT(TRIM(tbl_Lifestyle[[#This Row],[activities]]),1))="y","yes","no")</f>
        <v>yes</v>
      </c>
      <c r="C230" t="s">
        <v>12</v>
      </c>
      <c r="D230" t="s">
        <v>12</v>
      </c>
      <c r="E230">
        <v>4</v>
      </c>
      <c r="F230">
        <v>3</v>
      </c>
      <c r="G230">
        <v>2</v>
      </c>
      <c r="H230">
        <v>4</v>
      </c>
      <c r="I230">
        <v>5</v>
      </c>
      <c r="J230">
        <v>3</v>
      </c>
      <c r="K230">
        <v>14</v>
      </c>
    </row>
    <row r="231" spans="1:11" x14ac:dyDescent="0.35">
      <c r="A231">
        <v>230</v>
      </c>
      <c r="B231" t="str">
        <f ca="1">IF(LOWER(LEFT(TRIM(tbl_Lifestyle[[#This Row],[activities]]),1))="y","yes","no")</f>
        <v>yes</v>
      </c>
      <c r="C231" t="s">
        <v>103</v>
      </c>
      <c r="D231" t="s">
        <v>12</v>
      </c>
      <c r="E231">
        <v>3</v>
      </c>
      <c r="F231">
        <v>2</v>
      </c>
      <c r="G231">
        <v>3</v>
      </c>
      <c r="H231">
        <v>1</v>
      </c>
      <c r="I231">
        <v>2</v>
      </c>
      <c r="J231">
        <v>3</v>
      </c>
      <c r="K231">
        <v>10</v>
      </c>
    </row>
    <row r="232" spans="1:11" x14ac:dyDescent="0.35">
      <c r="A232">
        <v>231</v>
      </c>
      <c r="B232" t="str">
        <f ca="1">IF(LOWER(LEFT(TRIM(tbl_Lifestyle[[#This Row],[activities]]),1))="y","yes","no")</f>
        <v>yes</v>
      </c>
      <c r="C232" t="s">
        <v>12</v>
      </c>
      <c r="D232" t="s">
        <v>12</v>
      </c>
      <c r="E232">
        <v>3</v>
      </c>
      <c r="F232">
        <v>2</v>
      </c>
      <c r="G232">
        <v>3</v>
      </c>
      <c r="H232">
        <v>1</v>
      </c>
      <c r="I232">
        <v>2</v>
      </c>
      <c r="J232">
        <v>3</v>
      </c>
      <c r="K232">
        <v>14</v>
      </c>
    </row>
    <row r="233" spans="1:11" x14ac:dyDescent="0.35">
      <c r="A233">
        <v>232</v>
      </c>
      <c r="B233" t="str">
        <f ca="1">IF(LOWER(LEFT(TRIM(tbl_Lifestyle[[#This Row],[activities]]),1))="y","yes","no")</f>
        <v>yes</v>
      </c>
      <c r="C233" t="s">
        <v>12</v>
      </c>
      <c r="D233" t="s">
        <v>11</v>
      </c>
      <c r="E233">
        <v>4</v>
      </c>
      <c r="F233">
        <v>5</v>
      </c>
      <c r="G233">
        <v>2</v>
      </c>
      <c r="H233">
        <v>1</v>
      </c>
      <c r="I233">
        <v>1</v>
      </c>
      <c r="J233">
        <v>1</v>
      </c>
      <c r="K233">
        <v>4</v>
      </c>
    </row>
    <row r="234" spans="1:11" x14ac:dyDescent="0.35">
      <c r="A234">
        <v>233</v>
      </c>
      <c r="B234" t="str">
        <f ca="1">IF(LOWER(LEFT(TRIM(tbl_Lifestyle[[#This Row],[activities]]),1))="y","yes","no")</f>
        <v>yes</v>
      </c>
      <c r="C234" t="s">
        <v>12</v>
      </c>
      <c r="D234" t="s">
        <v>12</v>
      </c>
      <c r="E234">
        <v>4</v>
      </c>
      <c r="F234">
        <v>5</v>
      </c>
      <c r="G234">
        <v>5</v>
      </c>
      <c r="H234">
        <v>1</v>
      </c>
      <c r="I234">
        <v>3</v>
      </c>
      <c r="J234">
        <v>2</v>
      </c>
      <c r="K234">
        <v>14</v>
      </c>
    </row>
    <row r="235" spans="1:11" x14ac:dyDescent="0.35">
      <c r="A235">
        <v>234</v>
      </c>
      <c r="B235" t="str">
        <f ca="1">IF(LOWER(LEFT(TRIM(tbl_Lifestyle[[#This Row],[activities]]),1))="y","yes","no")</f>
        <v>yes</v>
      </c>
      <c r="C235" t="s">
        <v>12</v>
      </c>
      <c r="D235" t="s">
        <v>11</v>
      </c>
      <c r="E235">
        <v>4</v>
      </c>
      <c r="F235">
        <v>2</v>
      </c>
      <c r="G235">
        <v>4</v>
      </c>
      <c r="H235">
        <v>2</v>
      </c>
      <c r="I235">
        <v>4</v>
      </c>
      <c r="J235">
        <v>1</v>
      </c>
      <c r="K235">
        <v>2</v>
      </c>
    </row>
    <row r="236" spans="1:11" x14ac:dyDescent="0.35">
      <c r="A236">
        <v>235</v>
      </c>
      <c r="B236" t="str">
        <f ca="1">IF(LOWER(LEFT(TRIM(tbl_Lifestyle[[#This Row],[activities]]),1))="y","yes","no")</f>
        <v>no</v>
      </c>
      <c r="C236" t="s">
        <v>12</v>
      </c>
      <c r="D236" t="s">
        <v>11</v>
      </c>
      <c r="E236">
        <v>3</v>
      </c>
      <c r="F236">
        <v>4</v>
      </c>
      <c r="G236">
        <v>2</v>
      </c>
      <c r="H236">
        <v>1</v>
      </c>
      <c r="I236">
        <v>1</v>
      </c>
      <c r="J236">
        <v>5</v>
      </c>
      <c r="K236">
        <v>18</v>
      </c>
    </row>
    <row r="237" spans="1:11" x14ac:dyDescent="0.35">
      <c r="A237">
        <v>236</v>
      </c>
      <c r="B237" t="str">
        <f ca="1">IF(LOWER(LEFT(TRIM(tbl_Lifestyle[[#This Row],[activities]]),1))="y","yes","no")</f>
        <v>yes</v>
      </c>
      <c r="C237" t="s">
        <v>12</v>
      </c>
      <c r="D237" t="s">
        <v>12</v>
      </c>
      <c r="E237">
        <v>5</v>
      </c>
      <c r="F237">
        <v>3</v>
      </c>
      <c r="G237">
        <v>3</v>
      </c>
      <c r="H237">
        <v>1</v>
      </c>
      <c r="I237">
        <v>3</v>
      </c>
      <c r="J237">
        <v>2</v>
      </c>
      <c r="K237">
        <v>10</v>
      </c>
    </row>
    <row r="238" spans="1:11" x14ac:dyDescent="0.35">
      <c r="A238">
        <v>237</v>
      </c>
      <c r="B238" t="str">
        <f ca="1">IF(LOWER(LEFT(TRIM(tbl_Lifestyle[[#This Row],[activities]]),1))="y","yes","no")</f>
        <v>yes</v>
      </c>
      <c r="C238" t="s">
        <v>12</v>
      </c>
      <c r="D238" t="s">
        <v>12</v>
      </c>
      <c r="E238">
        <v>4</v>
      </c>
      <c r="F238">
        <v>4</v>
      </c>
      <c r="G238">
        <v>2</v>
      </c>
      <c r="H238">
        <v>5</v>
      </c>
      <c r="I238">
        <v>5</v>
      </c>
      <c r="J238">
        <v>4</v>
      </c>
      <c r="K238">
        <v>4</v>
      </c>
    </row>
    <row r="239" spans="1:11" x14ac:dyDescent="0.35">
      <c r="A239">
        <v>238</v>
      </c>
      <c r="B239" t="str">
        <f ca="1">IF(LOWER(LEFT(TRIM(tbl_Lifestyle[[#This Row],[activities]]),1))="y","yes","no")</f>
        <v>no</v>
      </c>
      <c r="C239" t="s">
        <v>12</v>
      </c>
      <c r="D239" t="s">
        <v>12</v>
      </c>
      <c r="E239">
        <v>4</v>
      </c>
      <c r="F239">
        <v>5</v>
      </c>
      <c r="G239">
        <v>2</v>
      </c>
      <c r="H239">
        <v>1</v>
      </c>
      <c r="I239">
        <v>1</v>
      </c>
      <c r="J239">
        <v>5</v>
      </c>
      <c r="K239">
        <v>20</v>
      </c>
    </row>
    <row r="240" spans="1:11" x14ac:dyDescent="0.35">
      <c r="A240">
        <v>239</v>
      </c>
      <c r="B240" t="str">
        <f ca="1">IF(LOWER(LEFT(TRIM(tbl_Lifestyle[[#This Row],[activities]]),1))="y","yes","no")</f>
        <v>yes</v>
      </c>
      <c r="C240" t="s">
        <v>11</v>
      </c>
      <c r="D240" t="s">
        <v>11</v>
      </c>
      <c r="E240">
        <v>2</v>
      </c>
      <c r="F240">
        <v>1</v>
      </c>
      <c r="G240">
        <v>1</v>
      </c>
      <c r="H240">
        <v>1</v>
      </c>
      <c r="I240">
        <v>1</v>
      </c>
      <c r="J240">
        <v>3</v>
      </c>
      <c r="K240">
        <v>2</v>
      </c>
    </row>
    <row r="241" spans="1:11" x14ac:dyDescent="0.35">
      <c r="A241">
        <v>240</v>
      </c>
      <c r="B241" t="str">
        <f ca="1">IF(LOWER(LEFT(TRIM(tbl_Lifestyle[[#This Row],[activities]]),1))="y","yes","no")</f>
        <v>no</v>
      </c>
      <c r="C241" t="s">
        <v>12</v>
      </c>
      <c r="D241" t="s">
        <v>11</v>
      </c>
      <c r="E241">
        <v>5</v>
      </c>
      <c r="F241">
        <v>5</v>
      </c>
      <c r="G241">
        <v>4</v>
      </c>
      <c r="H241">
        <v>3</v>
      </c>
      <c r="I241">
        <v>5</v>
      </c>
      <c r="J241">
        <v>2</v>
      </c>
      <c r="K241">
        <v>0</v>
      </c>
    </row>
    <row r="242" spans="1:11" x14ac:dyDescent="0.35">
      <c r="A242">
        <v>241</v>
      </c>
      <c r="B242" t="str">
        <f ca="1">IF(LOWER(LEFT(TRIM(tbl_Lifestyle[[#This Row],[activities]]),1))="y","yes","no")</f>
        <v>yes</v>
      </c>
      <c r="C242" t="s">
        <v>12</v>
      </c>
      <c r="D242" t="s">
        <v>12</v>
      </c>
      <c r="E242">
        <v>2</v>
      </c>
      <c r="F242">
        <v>5</v>
      </c>
      <c r="G242">
        <v>5</v>
      </c>
      <c r="H242">
        <v>1</v>
      </c>
      <c r="I242">
        <v>4</v>
      </c>
      <c r="J242">
        <v>5</v>
      </c>
      <c r="K242">
        <v>14</v>
      </c>
    </row>
    <row r="243" spans="1:11" x14ac:dyDescent="0.35">
      <c r="A243">
        <v>242</v>
      </c>
      <c r="B243" t="str">
        <f ca="1">IF(LOWER(LEFT(TRIM(tbl_Lifestyle[[#This Row],[activities]]),1))="y","yes","no")</f>
        <v>no</v>
      </c>
      <c r="C243" t="s">
        <v>12</v>
      </c>
      <c r="D243" t="s">
        <v>11</v>
      </c>
      <c r="E243">
        <v>3</v>
      </c>
      <c r="F243">
        <v>3</v>
      </c>
      <c r="G243">
        <v>3</v>
      </c>
      <c r="H243">
        <v>2</v>
      </c>
      <c r="I243">
        <v>3</v>
      </c>
      <c r="J243">
        <v>4</v>
      </c>
      <c r="K243">
        <v>2</v>
      </c>
    </row>
    <row r="244" spans="1:11" x14ac:dyDescent="0.35">
      <c r="A244">
        <v>243</v>
      </c>
      <c r="B244" t="str">
        <f ca="1">IF(LOWER(LEFT(TRIM(tbl_Lifestyle[[#This Row],[activities]]),1))="y","yes","no")</f>
        <v>yes</v>
      </c>
      <c r="C244" t="s">
        <v>12</v>
      </c>
      <c r="D244" t="s">
        <v>11</v>
      </c>
      <c r="E244">
        <v>5</v>
      </c>
      <c r="F244">
        <v>4</v>
      </c>
      <c r="G244">
        <v>5</v>
      </c>
      <c r="H244">
        <v>1</v>
      </c>
      <c r="I244">
        <v>1</v>
      </c>
      <c r="J244">
        <v>3</v>
      </c>
      <c r="K244">
        <v>0</v>
      </c>
    </row>
    <row r="245" spans="1:11" x14ac:dyDescent="0.35">
      <c r="A245">
        <v>244</v>
      </c>
      <c r="B245" t="str">
        <f ca="1">IF(LOWER(LEFT(TRIM(tbl_Lifestyle[[#This Row],[activities]]),1))="y","yes","no")</f>
        <v>yes</v>
      </c>
      <c r="C245" t="s">
        <v>12</v>
      </c>
      <c r="D245" t="s">
        <v>11</v>
      </c>
      <c r="E245">
        <v>5</v>
      </c>
      <c r="F245">
        <v>3</v>
      </c>
      <c r="G245">
        <v>2</v>
      </c>
      <c r="H245">
        <v>1</v>
      </c>
      <c r="I245">
        <v>2</v>
      </c>
      <c r="J245">
        <v>5</v>
      </c>
      <c r="K245">
        <v>0</v>
      </c>
    </row>
    <row r="246" spans="1:11" x14ac:dyDescent="0.35">
      <c r="A246">
        <v>245</v>
      </c>
      <c r="B246" t="str">
        <f ca="1">IF(LOWER(LEFT(TRIM(tbl_Lifestyle[[#This Row],[activities]]),1))="y","yes","no")</f>
        <v>no</v>
      </c>
      <c r="C246" t="s">
        <v>12</v>
      </c>
      <c r="D246" t="s">
        <v>12</v>
      </c>
      <c r="E246">
        <v>4</v>
      </c>
      <c r="F246">
        <v>4</v>
      </c>
      <c r="G246">
        <v>4</v>
      </c>
      <c r="H246">
        <v>1</v>
      </c>
      <c r="I246">
        <v>1</v>
      </c>
      <c r="J246">
        <v>3</v>
      </c>
      <c r="K246">
        <v>0</v>
      </c>
    </row>
    <row r="247" spans="1:11" x14ac:dyDescent="0.35">
      <c r="A247">
        <v>246</v>
      </c>
      <c r="B247" t="str">
        <f ca="1">IF(LOWER(LEFT(TRIM(tbl_Lifestyle[[#This Row],[activities]]),1))="y","yes","no")</f>
        <v>no</v>
      </c>
      <c r="C247" t="s">
        <v>12</v>
      </c>
      <c r="D247" t="s">
        <v>11</v>
      </c>
      <c r="E247">
        <v>4</v>
      </c>
      <c r="F247">
        <v>3</v>
      </c>
      <c r="G247">
        <v>3</v>
      </c>
      <c r="H247">
        <v>1</v>
      </c>
      <c r="I247">
        <v>1</v>
      </c>
      <c r="J247">
        <v>4</v>
      </c>
      <c r="K247">
        <v>6</v>
      </c>
    </row>
    <row r="248" spans="1:11" x14ac:dyDescent="0.35">
      <c r="A248">
        <v>247</v>
      </c>
      <c r="B248" t="str">
        <f ca="1">IF(LOWER(LEFT(TRIM(tbl_Lifestyle[[#This Row],[activities]]),1))="y","yes","no")</f>
        <v>no</v>
      </c>
      <c r="C248" t="s">
        <v>12</v>
      </c>
      <c r="D248" t="s">
        <v>11</v>
      </c>
      <c r="E248">
        <v>5</v>
      </c>
      <c r="F248">
        <v>2</v>
      </c>
      <c r="G248">
        <v>2</v>
      </c>
      <c r="H248">
        <v>1</v>
      </c>
      <c r="I248">
        <v>1</v>
      </c>
      <c r="J248">
        <v>2</v>
      </c>
      <c r="K248">
        <v>4</v>
      </c>
    </row>
    <row r="249" spans="1:11" x14ac:dyDescent="0.35">
      <c r="A249">
        <v>248</v>
      </c>
      <c r="B249" t="str">
        <f ca="1">IF(LOWER(LEFT(TRIM(tbl_Lifestyle[[#This Row],[activities]]),1))="y","yes","no")</f>
        <v>no</v>
      </c>
      <c r="C249" t="s">
        <v>12</v>
      </c>
      <c r="D249" t="s">
        <v>12</v>
      </c>
      <c r="E249">
        <v>5</v>
      </c>
      <c r="F249">
        <v>4</v>
      </c>
      <c r="G249">
        <v>5</v>
      </c>
      <c r="H249">
        <v>5</v>
      </c>
      <c r="I249">
        <v>5</v>
      </c>
      <c r="J249">
        <v>1</v>
      </c>
      <c r="K249">
        <v>16</v>
      </c>
    </row>
    <row r="250" spans="1:11" x14ac:dyDescent="0.35">
      <c r="A250">
        <v>249</v>
      </c>
      <c r="B250" t="str">
        <f ca="1">IF(LOWER(LEFT(TRIM(tbl_Lifestyle[[#This Row],[activities]]),1))="y","yes","no")</f>
        <v>no</v>
      </c>
      <c r="C250" t="s">
        <v>12</v>
      </c>
      <c r="D250" t="s">
        <v>12</v>
      </c>
      <c r="E250">
        <v>4</v>
      </c>
      <c r="F250">
        <v>3</v>
      </c>
      <c r="G250">
        <v>3</v>
      </c>
      <c r="H250">
        <v>1</v>
      </c>
      <c r="I250">
        <v>3</v>
      </c>
      <c r="J250">
        <v>5</v>
      </c>
      <c r="K250">
        <v>8</v>
      </c>
    </row>
    <row r="251" spans="1:11" x14ac:dyDescent="0.35">
      <c r="A251">
        <v>250</v>
      </c>
      <c r="B251" t="str">
        <f ca="1">IF(LOWER(LEFT(TRIM(tbl_Lifestyle[[#This Row],[activities]]),1))="y","yes","no")</f>
        <v>no</v>
      </c>
      <c r="C251" t="s">
        <v>12</v>
      </c>
      <c r="D251" t="s">
        <v>11</v>
      </c>
      <c r="E251">
        <v>4</v>
      </c>
      <c r="F251">
        <v>3</v>
      </c>
      <c r="G251">
        <v>2</v>
      </c>
      <c r="H251">
        <v>2</v>
      </c>
      <c r="I251">
        <v>4</v>
      </c>
      <c r="J251">
        <v>5</v>
      </c>
      <c r="K251">
        <v>0</v>
      </c>
    </row>
    <row r="252" spans="1:11" x14ac:dyDescent="0.35">
      <c r="A252">
        <v>251</v>
      </c>
      <c r="B252" t="str">
        <f ca="1">IF(LOWER(LEFT(TRIM(tbl_Lifestyle[[#This Row],[activities]]),1))="y","yes","no")</f>
        <v>no</v>
      </c>
      <c r="C252" t="s">
        <v>12</v>
      </c>
      <c r="D252" t="s">
        <v>11</v>
      </c>
      <c r="E252">
        <v>4</v>
      </c>
      <c r="F252">
        <v>4</v>
      </c>
      <c r="G252">
        <v>5</v>
      </c>
      <c r="H252">
        <v>2</v>
      </c>
      <c r="I252">
        <v>4</v>
      </c>
      <c r="J252">
        <v>5</v>
      </c>
      <c r="K252">
        <v>0</v>
      </c>
    </row>
    <row r="253" spans="1:11" x14ac:dyDescent="0.35">
      <c r="A253">
        <v>252</v>
      </c>
      <c r="B253" t="str">
        <f ca="1">IF(LOWER(LEFT(TRIM(tbl_Lifestyle[[#This Row],[activities]]),1))="y","yes","no")</f>
        <v>no</v>
      </c>
      <c r="C253" t="s">
        <v>12</v>
      </c>
      <c r="D253" t="s">
        <v>11</v>
      </c>
      <c r="E253">
        <v>5</v>
      </c>
      <c r="F253">
        <v>3</v>
      </c>
      <c r="G253">
        <v>3</v>
      </c>
      <c r="H253">
        <v>1</v>
      </c>
      <c r="I253">
        <v>3</v>
      </c>
      <c r="J253">
        <v>2</v>
      </c>
      <c r="K253">
        <v>6</v>
      </c>
    </row>
    <row r="254" spans="1:11" x14ac:dyDescent="0.35">
      <c r="A254">
        <v>253</v>
      </c>
      <c r="B254" t="str">
        <f ca="1">IF(LOWER(LEFT(TRIM(tbl_Lifestyle[[#This Row],[activities]]),1))="y","yes","no")</f>
        <v>no</v>
      </c>
      <c r="C254" t="s">
        <v>12</v>
      </c>
      <c r="D254" t="s">
        <v>11</v>
      </c>
      <c r="E254">
        <v>3</v>
      </c>
      <c r="F254">
        <v>2</v>
      </c>
      <c r="G254">
        <v>5</v>
      </c>
      <c r="H254">
        <v>2</v>
      </c>
      <c r="I254">
        <v>5</v>
      </c>
      <c r="J254">
        <v>5</v>
      </c>
      <c r="K254">
        <v>4</v>
      </c>
    </row>
    <row r="255" spans="1:11" x14ac:dyDescent="0.35">
      <c r="A255">
        <v>254</v>
      </c>
      <c r="B255" t="str">
        <f ca="1">IF(LOWER(LEFT(TRIM(tbl_Lifestyle[[#This Row],[activities]]),1))="y","yes","no")</f>
        <v>yes</v>
      </c>
      <c r="C255" t="s">
        <v>11</v>
      </c>
      <c r="D255" t="s">
        <v>11</v>
      </c>
      <c r="E255">
        <v>3</v>
      </c>
      <c r="F255">
        <v>3</v>
      </c>
      <c r="G255">
        <v>2</v>
      </c>
      <c r="H255">
        <v>1</v>
      </c>
      <c r="I255">
        <v>3</v>
      </c>
      <c r="J255">
        <v>3</v>
      </c>
      <c r="K255">
        <v>0</v>
      </c>
    </row>
    <row r="256" spans="1:11" x14ac:dyDescent="0.35">
      <c r="A256">
        <v>255</v>
      </c>
      <c r="B256" t="str">
        <f ca="1">IF(LOWER(LEFT(TRIM(tbl_Lifestyle[[#This Row],[activities]]),1))="y","yes","no")</f>
        <v>no</v>
      </c>
      <c r="C256" t="s">
        <v>12</v>
      </c>
      <c r="D256" t="s">
        <v>11</v>
      </c>
      <c r="E256">
        <v>4</v>
      </c>
      <c r="F256">
        <v>4</v>
      </c>
      <c r="G256">
        <v>2</v>
      </c>
      <c r="H256">
        <v>2</v>
      </c>
      <c r="I256">
        <v>4</v>
      </c>
      <c r="J256">
        <v>5</v>
      </c>
      <c r="K256">
        <v>0</v>
      </c>
    </row>
    <row r="257" spans="1:11" x14ac:dyDescent="0.35">
      <c r="A257">
        <v>256</v>
      </c>
      <c r="B257" t="str">
        <f ca="1">IF(LOWER(LEFT(TRIM(tbl_Lifestyle[[#This Row],[activities]]),1))="y","yes","no")</f>
        <v>yes</v>
      </c>
      <c r="C257" t="s">
        <v>12</v>
      </c>
      <c r="D257" t="s">
        <v>11</v>
      </c>
      <c r="E257">
        <v>4</v>
      </c>
      <c r="F257">
        <v>4</v>
      </c>
      <c r="G257">
        <v>4</v>
      </c>
      <c r="H257">
        <v>1</v>
      </c>
      <c r="I257">
        <v>2</v>
      </c>
      <c r="J257">
        <v>5</v>
      </c>
      <c r="K257">
        <v>2</v>
      </c>
    </row>
    <row r="258" spans="1:11" x14ac:dyDescent="0.35">
      <c r="A258">
        <v>257</v>
      </c>
      <c r="B258" t="str">
        <f ca="1">IF(LOWER(LEFT(TRIM(tbl_Lifestyle[[#This Row],[activities]]),1))="y","yes","no")</f>
        <v>yes</v>
      </c>
      <c r="C258" t="s">
        <v>12</v>
      </c>
      <c r="D258" t="s">
        <v>11</v>
      </c>
      <c r="E258">
        <v>4</v>
      </c>
      <c r="F258">
        <v>2</v>
      </c>
      <c r="G258">
        <v>3</v>
      </c>
      <c r="H258">
        <v>1</v>
      </c>
      <c r="I258">
        <v>1</v>
      </c>
      <c r="J258">
        <v>4</v>
      </c>
      <c r="K258">
        <v>6</v>
      </c>
    </row>
    <row r="259" spans="1:11" x14ac:dyDescent="0.35">
      <c r="A259">
        <v>258</v>
      </c>
      <c r="B259" t="str">
        <f ca="1">IF(LOWER(LEFT(TRIM(tbl_Lifestyle[[#This Row],[activities]]),1))="y","yes","no")</f>
        <v>no</v>
      </c>
      <c r="C259" t="s">
        <v>12</v>
      </c>
      <c r="D259" t="s">
        <v>11</v>
      </c>
      <c r="E259">
        <v>4</v>
      </c>
      <c r="F259">
        <v>3</v>
      </c>
      <c r="G259">
        <v>1</v>
      </c>
      <c r="H259">
        <v>1</v>
      </c>
      <c r="I259">
        <v>1</v>
      </c>
      <c r="J259">
        <v>1</v>
      </c>
      <c r="K259">
        <v>12</v>
      </c>
    </row>
    <row r="260" spans="1:11" x14ac:dyDescent="0.35">
      <c r="A260">
        <v>259</v>
      </c>
      <c r="B260" t="str">
        <f ca="1">IF(LOWER(LEFT(TRIM(tbl_Lifestyle[[#This Row],[activities]]),1))="y","yes","no")</f>
        <v>yes</v>
      </c>
      <c r="C260" t="s">
        <v>12</v>
      </c>
      <c r="D260" t="s">
        <v>11</v>
      </c>
      <c r="E260">
        <v>5</v>
      </c>
      <c r="F260">
        <v>2</v>
      </c>
      <c r="G260">
        <v>4</v>
      </c>
      <c r="H260">
        <v>1</v>
      </c>
      <c r="I260">
        <v>2</v>
      </c>
      <c r="J260">
        <v>4</v>
      </c>
      <c r="K260">
        <v>8</v>
      </c>
    </row>
    <row r="261" spans="1:11" x14ac:dyDescent="0.35">
      <c r="A261">
        <v>260</v>
      </c>
      <c r="B261" t="str">
        <f ca="1">IF(LOWER(LEFT(TRIM(tbl_Lifestyle[[#This Row],[activities]]),1))="y","yes","no")</f>
        <v>yes</v>
      </c>
      <c r="C261" t="s">
        <v>12</v>
      </c>
      <c r="D261" t="s">
        <v>12</v>
      </c>
      <c r="E261">
        <v>3</v>
      </c>
      <c r="F261">
        <v>4</v>
      </c>
      <c r="G261">
        <v>1</v>
      </c>
      <c r="H261">
        <v>1</v>
      </c>
      <c r="I261">
        <v>1</v>
      </c>
      <c r="J261">
        <v>2</v>
      </c>
      <c r="K261">
        <v>0</v>
      </c>
    </row>
    <row r="262" spans="1:11" x14ac:dyDescent="0.35">
      <c r="A262">
        <v>261</v>
      </c>
      <c r="B262" t="str">
        <f ca="1">IF(LOWER(LEFT(TRIM(tbl_Lifestyle[[#This Row],[activities]]),1))="y","yes","no")</f>
        <v>no</v>
      </c>
      <c r="C262" t="s">
        <v>12</v>
      </c>
      <c r="D262" t="s">
        <v>12</v>
      </c>
      <c r="E262">
        <v>3</v>
      </c>
      <c r="F262">
        <v>1</v>
      </c>
      <c r="G262">
        <v>2</v>
      </c>
      <c r="H262">
        <v>1</v>
      </c>
      <c r="I262">
        <v>3</v>
      </c>
      <c r="J262">
        <v>2</v>
      </c>
      <c r="K262">
        <v>21</v>
      </c>
    </row>
    <row r="263" spans="1:11" x14ac:dyDescent="0.35">
      <c r="A263">
        <v>262</v>
      </c>
      <c r="B263" t="str">
        <f ca="1">IF(LOWER(LEFT(TRIM(tbl_Lifestyle[[#This Row],[activities]]),1))="y","yes","no")</f>
        <v>no</v>
      </c>
      <c r="C263" t="s">
        <v>12</v>
      </c>
      <c r="D263" t="s">
        <v>11</v>
      </c>
      <c r="E263">
        <v>4</v>
      </c>
      <c r="F263">
        <v>3</v>
      </c>
      <c r="G263">
        <v>2</v>
      </c>
      <c r="H263">
        <v>1</v>
      </c>
      <c r="I263">
        <v>1</v>
      </c>
      <c r="J263">
        <v>3</v>
      </c>
      <c r="K263">
        <v>2</v>
      </c>
    </row>
    <row r="264" spans="1:11" x14ac:dyDescent="0.35">
      <c r="A264">
        <v>263</v>
      </c>
      <c r="B264" t="str">
        <f ca="1">IF(LOWER(LEFT(TRIM(tbl_Lifestyle[[#This Row],[activities]]),1))="y","yes","no")</f>
        <v>yes</v>
      </c>
      <c r="C264" t="s">
        <v>11</v>
      </c>
      <c r="D264" t="s">
        <v>11</v>
      </c>
      <c r="E264">
        <v>5</v>
      </c>
      <c r="F264">
        <v>3</v>
      </c>
      <c r="G264">
        <v>2</v>
      </c>
      <c r="H264">
        <v>1</v>
      </c>
      <c r="I264">
        <v>1</v>
      </c>
      <c r="J264">
        <v>3</v>
      </c>
      <c r="K264">
        <v>1</v>
      </c>
    </row>
    <row r="265" spans="1:11" x14ac:dyDescent="0.35">
      <c r="A265">
        <v>264</v>
      </c>
      <c r="B265" t="str">
        <f ca="1">IF(LOWER(LEFT(TRIM(tbl_Lifestyle[[#This Row],[activities]]),1))="y","yes","no")</f>
        <v>yes</v>
      </c>
      <c r="C265" t="s">
        <v>11</v>
      </c>
      <c r="D265" t="s">
        <v>11</v>
      </c>
      <c r="E265">
        <v>3</v>
      </c>
      <c r="F265">
        <v>2</v>
      </c>
      <c r="G265">
        <v>3</v>
      </c>
      <c r="H265">
        <v>1</v>
      </c>
      <c r="I265">
        <v>1</v>
      </c>
      <c r="J265">
        <v>4</v>
      </c>
      <c r="K265">
        <v>4</v>
      </c>
    </row>
    <row r="266" spans="1:11" x14ac:dyDescent="0.35">
      <c r="A266">
        <v>265</v>
      </c>
      <c r="B266" t="str">
        <f ca="1">IF(LOWER(LEFT(TRIM(tbl_Lifestyle[[#This Row],[activities]]),1))="y","yes","no")</f>
        <v>yes</v>
      </c>
      <c r="C266" t="s">
        <v>12</v>
      </c>
      <c r="D266" t="s">
        <v>12</v>
      </c>
      <c r="E266">
        <v>4</v>
      </c>
      <c r="F266">
        <v>3</v>
      </c>
      <c r="G266">
        <v>3</v>
      </c>
      <c r="H266">
        <v>1</v>
      </c>
      <c r="I266">
        <v>1</v>
      </c>
      <c r="J266">
        <v>3</v>
      </c>
      <c r="K266">
        <v>0</v>
      </c>
    </row>
    <row r="267" spans="1:11" x14ac:dyDescent="0.35">
      <c r="A267">
        <v>266</v>
      </c>
      <c r="B267" t="str">
        <f ca="1">IF(LOWER(LEFT(TRIM(tbl_Lifestyle[[#This Row],[activities]]),1))="y","yes","no")</f>
        <v>yes</v>
      </c>
      <c r="C267" t="s">
        <v>12</v>
      </c>
      <c r="D267" t="s">
        <v>11</v>
      </c>
      <c r="E267">
        <v>4</v>
      </c>
      <c r="F267">
        <v>2</v>
      </c>
      <c r="G267">
        <v>5</v>
      </c>
      <c r="H267">
        <v>3</v>
      </c>
      <c r="I267">
        <v>4</v>
      </c>
      <c r="J267">
        <v>1</v>
      </c>
      <c r="K267">
        <v>13</v>
      </c>
    </row>
    <row r="268" spans="1:11" x14ac:dyDescent="0.35">
      <c r="A268">
        <v>267</v>
      </c>
      <c r="B268" t="str">
        <f ca="1">IF(LOWER(LEFT(TRIM(tbl_Lifestyle[[#This Row],[activities]]),1))="y","yes","no")</f>
        <v>yes</v>
      </c>
      <c r="C268" t="s">
        <v>12</v>
      </c>
      <c r="D268" t="s">
        <v>12</v>
      </c>
      <c r="E268">
        <v>5</v>
      </c>
      <c r="F268">
        <v>4</v>
      </c>
      <c r="G268">
        <v>4</v>
      </c>
      <c r="H268">
        <v>3</v>
      </c>
      <c r="I268">
        <v>4</v>
      </c>
      <c r="J268">
        <v>5</v>
      </c>
      <c r="K268">
        <v>2</v>
      </c>
    </row>
    <row r="269" spans="1:11" x14ac:dyDescent="0.35">
      <c r="A269">
        <v>268</v>
      </c>
      <c r="B269" t="str">
        <f ca="1">IF(LOWER(LEFT(TRIM(tbl_Lifestyle[[#This Row],[activities]]),1))="y","yes","no")</f>
        <v>yes</v>
      </c>
      <c r="C269" t="s">
        <v>12</v>
      </c>
      <c r="D269" t="s">
        <v>11</v>
      </c>
      <c r="E269">
        <v>4</v>
      </c>
      <c r="F269">
        <v>3</v>
      </c>
      <c r="G269">
        <v>4</v>
      </c>
      <c r="H269">
        <v>2</v>
      </c>
      <c r="I269">
        <v>2</v>
      </c>
      <c r="J269">
        <v>4</v>
      </c>
      <c r="K269">
        <v>8</v>
      </c>
    </row>
    <row r="270" spans="1:11" x14ac:dyDescent="0.35">
      <c r="A270">
        <v>269</v>
      </c>
      <c r="B270" t="str">
        <f ca="1">IF(LOWER(LEFT(TRIM(tbl_Lifestyle[[#This Row],[activities]]),1))="y","yes","no")</f>
        <v>yes</v>
      </c>
      <c r="C270" t="s">
        <v>12</v>
      </c>
      <c r="D270" t="s">
        <v>12</v>
      </c>
      <c r="E270">
        <v>5</v>
      </c>
      <c r="F270">
        <v>4</v>
      </c>
      <c r="G270">
        <v>5</v>
      </c>
      <c r="H270">
        <v>1</v>
      </c>
      <c r="I270">
        <v>3</v>
      </c>
      <c r="J270">
        <v>5</v>
      </c>
      <c r="K270">
        <v>10</v>
      </c>
    </row>
    <row r="271" spans="1:11" x14ac:dyDescent="0.35">
      <c r="A271">
        <v>270</v>
      </c>
      <c r="B271" t="str">
        <f ca="1">IF(LOWER(LEFT(TRIM(tbl_Lifestyle[[#This Row],[activities]]),1))="y","yes","no")</f>
        <v>no</v>
      </c>
      <c r="C271" t="s">
        <v>12</v>
      </c>
      <c r="D271" t="s">
        <v>12</v>
      </c>
      <c r="E271">
        <v>4</v>
      </c>
      <c r="F271">
        <v>3</v>
      </c>
      <c r="G271">
        <v>5</v>
      </c>
      <c r="H271">
        <v>1</v>
      </c>
      <c r="I271">
        <v>2</v>
      </c>
      <c r="J271">
        <v>3</v>
      </c>
      <c r="K271">
        <v>0</v>
      </c>
    </row>
    <row r="272" spans="1:11" x14ac:dyDescent="0.35">
      <c r="A272">
        <v>271</v>
      </c>
      <c r="B272" t="str">
        <f ca="1">IF(LOWER(LEFT(TRIM(tbl_Lifestyle[[#This Row],[activities]]),1))="y","yes","no")</f>
        <v>yes</v>
      </c>
      <c r="C272" t="s">
        <v>12</v>
      </c>
      <c r="D272" t="s">
        <v>11</v>
      </c>
      <c r="E272">
        <v>4</v>
      </c>
      <c r="F272">
        <v>3</v>
      </c>
      <c r="G272">
        <v>5</v>
      </c>
      <c r="H272">
        <v>3</v>
      </c>
      <c r="I272">
        <v>3</v>
      </c>
      <c r="J272">
        <v>5</v>
      </c>
      <c r="K272">
        <v>15</v>
      </c>
    </row>
    <row r="273" spans="1:11" x14ac:dyDescent="0.35">
      <c r="A273">
        <v>272</v>
      </c>
      <c r="B273" t="str">
        <f ca="1">IF(LOWER(LEFT(TRIM(tbl_Lifestyle[[#This Row],[activities]]),1))="y","yes","no")</f>
        <v>yes</v>
      </c>
      <c r="C273" t="s">
        <v>12</v>
      </c>
      <c r="D273" t="s">
        <v>12</v>
      </c>
      <c r="E273">
        <v>4</v>
      </c>
      <c r="F273">
        <v>5</v>
      </c>
      <c r="G273">
        <v>5</v>
      </c>
      <c r="H273">
        <v>1</v>
      </c>
      <c r="I273">
        <v>3</v>
      </c>
      <c r="J273">
        <v>2</v>
      </c>
      <c r="K273">
        <v>4</v>
      </c>
    </row>
    <row r="274" spans="1:11" x14ac:dyDescent="0.35">
      <c r="A274">
        <v>273</v>
      </c>
      <c r="B274" t="str">
        <f ca="1">IF(LOWER(LEFT(TRIM(tbl_Lifestyle[[#This Row],[activities]]),1))="y","yes","no")</f>
        <v>no</v>
      </c>
      <c r="C274" t="s">
        <v>11</v>
      </c>
      <c r="D274" t="s">
        <v>11</v>
      </c>
      <c r="E274">
        <v>4</v>
      </c>
      <c r="F274">
        <v>4</v>
      </c>
      <c r="G274">
        <v>3</v>
      </c>
      <c r="H274">
        <v>1</v>
      </c>
      <c r="I274">
        <v>1</v>
      </c>
      <c r="J274">
        <v>3</v>
      </c>
      <c r="K274">
        <v>2</v>
      </c>
    </row>
    <row r="275" spans="1:11" x14ac:dyDescent="0.35">
      <c r="A275">
        <v>274</v>
      </c>
      <c r="B275" t="str">
        <f ca="1">IF(LOWER(LEFT(TRIM(tbl_Lifestyle[[#This Row],[activities]]),1))="y","yes","no")</f>
        <v>yes</v>
      </c>
      <c r="C275" t="s">
        <v>11</v>
      </c>
      <c r="D275" t="s">
        <v>12</v>
      </c>
      <c r="E275">
        <v>3</v>
      </c>
      <c r="F275">
        <v>5</v>
      </c>
      <c r="G275">
        <v>2</v>
      </c>
      <c r="H275">
        <v>2</v>
      </c>
      <c r="I275">
        <v>2</v>
      </c>
      <c r="J275">
        <v>1</v>
      </c>
      <c r="K275">
        <v>2</v>
      </c>
    </row>
    <row r="276" spans="1:11" x14ac:dyDescent="0.35">
      <c r="A276">
        <v>275</v>
      </c>
      <c r="B276" t="str">
        <f ca="1">IF(LOWER(LEFT(TRIM(tbl_Lifestyle[[#This Row],[activities]]),1))="y","yes","no")</f>
        <v>no</v>
      </c>
      <c r="C276" t="s">
        <v>103</v>
      </c>
      <c r="D276" t="s">
        <v>12</v>
      </c>
      <c r="E276">
        <v>4</v>
      </c>
      <c r="F276">
        <v>3</v>
      </c>
      <c r="G276">
        <v>3</v>
      </c>
      <c r="H276">
        <v>1</v>
      </c>
      <c r="I276">
        <v>1</v>
      </c>
      <c r="J276">
        <v>4</v>
      </c>
      <c r="K276">
        <v>2</v>
      </c>
    </row>
    <row r="277" spans="1:11" x14ac:dyDescent="0.35">
      <c r="A277">
        <v>276</v>
      </c>
      <c r="B277" t="str">
        <f ca="1">IF(LOWER(LEFT(TRIM(tbl_Lifestyle[[#This Row],[activities]]),1))="y","yes","no")</f>
        <v>no</v>
      </c>
      <c r="C277" t="s">
        <v>12</v>
      </c>
      <c r="D277" t="s">
        <v>12</v>
      </c>
      <c r="E277">
        <v>4</v>
      </c>
      <c r="F277">
        <v>4</v>
      </c>
      <c r="G277">
        <v>4</v>
      </c>
      <c r="H277">
        <v>2</v>
      </c>
      <c r="I277">
        <v>3</v>
      </c>
      <c r="J277">
        <v>5</v>
      </c>
      <c r="K277">
        <v>0</v>
      </c>
    </row>
    <row r="278" spans="1:11" x14ac:dyDescent="0.35">
      <c r="A278">
        <v>277</v>
      </c>
      <c r="B278" t="str">
        <f ca="1">IF(LOWER(LEFT(TRIM(tbl_Lifestyle[[#This Row],[activities]]),1))="y","yes","no")</f>
        <v>no</v>
      </c>
      <c r="C278" t="s">
        <v>12</v>
      </c>
      <c r="D278" t="s">
        <v>12</v>
      </c>
      <c r="E278">
        <v>4</v>
      </c>
      <c r="F278">
        <v>1</v>
      </c>
      <c r="G278">
        <v>1</v>
      </c>
      <c r="H278">
        <v>1</v>
      </c>
      <c r="I278">
        <v>1</v>
      </c>
      <c r="J278">
        <v>5</v>
      </c>
      <c r="K278">
        <v>75</v>
      </c>
    </row>
    <row r="279" spans="1:11" x14ac:dyDescent="0.35">
      <c r="A279">
        <v>278</v>
      </c>
      <c r="B279" t="str">
        <f ca="1">IF(LOWER(LEFT(TRIM(tbl_Lifestyle[[#This Row],[activities]]),1))="y","yes","no")</f>
        <v>yes</v>
      </c>
      <c r="C279" t="s">
        <v>12</v>
      </c>
      <c r="D279" t="s">
        <v>11</v>
      </c>
      <c r="E279">
        <v>3</v>
      </c>
      <c r="F279">
        <v>2</v>
      </c>
      <c r="G279">
        <v>4</v>
      </c>
      <c r="H279">
        <v>1</v>
      </c>
      <c r="I279">
        <v>4</v>
      </c>
      <c r="J279">
        <v>3</v>
      </c>
      <c r="K279">
        <v>22</v>
      </c>
    </row>
    <row r="280" spans="1:11" x14ac:dyDescent="0.35">
      <c r="A280">
        <v>279</v>
      </c>
      <c r="B280" t="str">
        <f ca="1">IF(LOWER(LEFT(TRIM(tbl_Lifestyle[[#This Row],[activities]]),1))="y","yes","no")</f>
        <v>yes</v>
      </c>
      <c r="C280" t="s">
        <v>12</v>
      </c>
      <c r="D280" t="s">
        <v>12</v>
      </c>
      <c r="E280">
        <v>2</v>
      </c>
      <c r="F280">
        <v>4</v>
      </c>
      <c r="G280">
        <v>4</v>
      </c>
      <c r="H280">
        <v>1</v>
      </c>
      <c r="I280">
        <v>1</v>
      </c>
      <c r="J280">
        <v>4</v>
      </c>
      <c r="K280">
        <v>15</v>
      </c>
    </row>
    <row r="281" spans="1:11" x14ac:dyDescent="0.35">
      <c r="A281">
        <v>280</v>
      </c>
      <c r="B281" t="str">
        <f ca="1">IF(LOWER(LEFT(TRIM(tbl_Lifestyle[[#This Row],[activities]]),1))="y","yes","no")</f>
        <v>yes</v>
      </c>
      <c r="C281" t="s">
        <v>12</v>
      </c>
      <c r="D281" t="s">
        <v>11</v>
      </c>
      <c r="E281">
        <v>4</v>
      </c>
      <c r="F281">
        <v>2</v>
      </c>
      <c r="G281">
        <v>3</v>
      </c>
      <c r="H281">
        <v>1</v>
      </c>
      <c r="I281">
        <v>2</v>
      </c>
      <c r="J281">
        <v>1</v>
      </c>
      <c r="K281">
        <v>8</v>
      </c>
    </row>
    <row r="282" spans="1:11" x14ac:dyDescent="0.35">
      <c r="A282">
        <v>281</v>
      </c>
      <c r="B282" t="str">
        <f ca="1">IF(LOWER(LEFT(TRIM(tbl_Lifestyle[[#This Row],[activities]]),1))="y","yes","no")</f>
        <v>yes</v>
      </c>
      <c r="C282" t="s">
        <v>12</v>
      </c>
      <c r="D282" t="s">
        <v>12</v>
      </c>
      <c r="E282">
        <v>4</v>
      </c>
      <c r="F282">
        <v>5</v>
      </c>
      <c r="G282">
        <v>4</v>
      </c>
      <c r="H282">
        <v>2</v>
      </c>
      <c r="I282">
        <v>4</v>
      </c>
      <c r="J282">
        <v>5</v>
      </c>
      <c r="K282">
        <v>30</v>
      </c>
    </row>
    <row r="283" spans="1:11" x14ac:dyDescent="0.35">
      <c r="A283">
        <v>282</v>
      </c>
      <c r="B283" t="str">
        <f ca="1">IF(LOWER(LEFT(TRIM(tbl_Lifestyle[[#This Row],[activities]]),1))="y","yes","no")</f>
        <v>no</v>
      </c>
      <c r="C283" t="s">
        <v>12</v>
      </c>
      <c r="D283" t="s">
        <v>11</v>
      </c>
      <c r="E283">
        <v>4</v>
      </c>
      <c r="F283">
        <v>4</v>
      </c>
      <c r="G283">
        <v>4</v>
      </c>
      <c r="H283">
        <v>3</v>
      </c>
      <c r="I283">
        <v>4</v>
      </c>
      <c r="J283">
        <v>3</v>
      </c>
      <c r="K283">
        <v>19</v>
      </c>
    </row>
    <row r="284" spans="1:11" x14ac:dyDescent="0.35">
      <c r="A284">
        <v>283</v>
      </c>
      <c r="B284" t="str">
        <f ca="1">IF(LOWER(LEFT(TRIM(tbl_Lifestyle[[#This Row],[activities]]),1))="y","yes","no")</f>
        <v>yes</v>
      </c>
      <c r="C284" t="s">
        <v>11</v>
      </c>
      <c r="D284" t="s">
        <v>11</v>
      </c>
      <c r="E284">
        <v>5</v>
      </c>
      <c r="F284">
        <v>2</v>
      </c>
      <c r="G284">
        <v>2</v>
      </c>
      <c r="H284">
        <v>1</v>
      </c>
      <c r="I284">
        <v>1</v>
      </c>
      <c r="J284">
        <v>3</v>
      </c>
      <c r="K284">
        <v>1</v>
      </c>
    </row>
    <row r="285" spans="1:11" x14ac:dyDescent="0.35">
      <c r="A285">
        <v>284</v>
      </c>
      <c r="B285" t="str">
        <f ca="1">IF(LOWER(LEFT(TRIM(tbl_Lifestyle[[#This Row],[activities]]),1))="y","yes","no")</f>
        <v>yes</v>
      </c>
      <c r="C285" t="s">
        <v>12</v>
      </c>
      <c r="D285" t="s">
        <v>11</v>
      </c>
      <c r="E285">
        <v>5</v>
      </c>
      <c r="F285">
        <v>4</v>
      </c>
      <c r="G285">
        <v>4</v>
      </c>
      <c r="H285">
        <v>1</v>
      </c>
      <c r="I285">
        <v>1</v>
      </c>
      <c r="J285">
        <v>4</v>
      </c>
      <c r="K285">
        <v>4</v>
      </c>
    </row>
    <row r="286" spans="1:11" x14ac:dyDescent="0.35">
      <c r="A286">
        <v>285</v>
      </c>
      <c r="B286" t="str">
        <f ca="1">IF(LOWER(LEFT(TRIM(tbl_Lifestyle[[#This Row],[activities]]),1))="y","yes","no")</f>
        <v>no</v>
      </c>
      <c r="C286" t="s">
        <v>12</v>
      </c>
      <c r="D286" t="s">
        <v>11</v>
      </c>
      <c r="E286">
        <v>5</v>
      </c>
      <c r="F286">
        <v>4</v>
      </c>
      <c r="G286">
        <v>5</v>
      </c>
      <c r="H286">
        <v>1</v>
      </c>
      <c r="I286">
        <v>2</v>
      </c>
      <c r="J286">
        <v>5</v>
      </c>
      <c r="K286">
        <v>4</v>
      </c>
    </row>
    <row r="287" spans="1:11" x14ac:dyDescent="0.35">
      <c r="A287">
        <v>286</v>
      </c>
      <c r="B287" t="str">
        <f ca="1">IF(LOWER(LEFT(TRIM(tbl_Lifestyle[[#This Row],[activities]]),1))="y","yes","no")</f>
        <v>no</v>
      </c>
      <c r="C287" t="s">
        <v>12</v>
      </c>
      <c r="D287" t="s">
        <v>11</v>
      </c>
      <c r="E287">
        <v>4</v>
      </c>
      <c r="F287">
        <v>3</v>
      </c>
      <c r="G287">
        <v>3</v>
      </c>
      <c r="H287">
        <v>1</v>
      </c>
      <c r="I287">
        <v>2</v>
      </c>
      <c r="J287">
        <v>4</v>
      </c>
      <c r="K287">
        <v>2</v>
      </c>
    </row>
    <row r="288" spans="1:11" x14ac:dyDescent="0.35">
      <c r="A288">
        <v>287</v>
      </c>
      <c r="B288" t="str">
        <f ca="1">IF(LOWER(LEFT(TRIM(tbl_Lifestyle[[#This Row],[activities]]),1))="y","yes","no")</f>
        <v>no</v>
      </c>
      <c r="C288" t="s">
        <v>12</v>
      </c>
      <c r="D288" t="s">
        <v>11</v>
      </c>
      <c r="E288">
        <v>4</v>
      </c>
      <c r="F288">
        <v>3</v>
      </c>
      <c r="G288">
        <v>3</v>
      </c>
      <c r="H288">
        <v>1</v>
      </c>
      <c r="I288">
        <v>2</v>
      </c>
      <c r="J288">
        <v>2</v>
      </c>
      <c r="K288">
        <v>5</v>
      </c>
    </row>
    <row r="289" spans="1:11" x14ac:dyDescent="0.35">
      <c r="A289">
        <v>288</v>
      </c>
      <c r="B289" t="str">
        <f ca="1">IF(LOWER(LEFT(TRIM(tbl_Lifestyle[[#This Row],[activities]]),1))="y","yes","no")</f>
        <v>no</v>
      </c>
      <c r="C289" t="s">
        <v>12</v>
      </c>
      <c r="D289" t="s">
        <v>11</v>
      </c>
      <c r="E289">
        <v>4</v>
      </c>
      <c r="F289">
        <v>3</v>
      </c>
      <c r="G289">
        <v>3</v>
      </c>
      <c r="H289">
        <v>1</v>
      </c>
      <c r="I289">
        <v>1</v>
      </c>
      <c r="J289">
        <v>3</v>
      </c>
      <c r="K289">
        <v>0</v>
      </c>
    </row>
    <row r="290" spans="1:11" x14ac:dyDescent="0.35">
      <c r="A290">
        <v>289</v>
      </c>
      <c r="B290" t="str">
        <f ca="1">IF(LOWER(LEFT(TRIM(tbl_Lifestyle[[#This Row],[activities]]),1))="y","yes","no")</f>
        <v>yes</v>
      </c>
      <c r="C290" t="s">
        <v>12</v>
      </c>
      <c r="D290" t="s">
        <v>11</v>
      </c>
      <c r="E290">
        <v>4</v>
      </c>
      <c r="F290">
        <v>2</v>
      </c>
      <c r="G290">
        <v>4</v>
      </c>
      <c r="H290">
        <v>1</v>
      </c>
      <c r="I290">
        <v>3</v>
      </c>
      <c r="J290">
        <v>2</v>
      </c>
      <c r="K290">
        <v>6</v>
      </c>
    </row>
    <row r="291" spans="1:11" x14ac:dyDescent="0.35">
      <c r="A291">
        <v>290</v>
      </c>
      <c r="B291" t="str">
        <f ca="1">IF(LOWER(LEFT(TRIM(tbl_Lifestyle[[#This Row],[activities]]),1))="y","yes","no")</f>
        <v>yes</v>
      </c>
      <c r="C291" t="s">
        <v>12</v>
      </c>
      <c r="D291" t="s">
        <v>11</v>
      </c>
      <c r="E291">
        <v>5</v>
      </c>
      <c r="F291">
        <v>4</v>
      </c>
      <c r="G291">
        <v>3</v>
      </c>
      <c r="H291">
        <v>1</v>
      </c>
      <c r="I291">
        <v>1</v>
      </c>
      <c r="J291">
        <v>2</v>
      </c>
      <c r="K291">
        <v>9</v>
      </c>
    </row>
    <row r="292" spans="1:11" x14ac:dyDescent="0.35">
      <c r="A292">
        <v>291</v>
      </c>
      <c r="B292" t="str">
        <f ca="1">IF(LOWER(LEFT(TRIM(tbl_Lifestyle[[#This Row],[activities]]),1))="y","yes","no")</f>
        <v>yes</v>
      </c>
      <c r="C292" t="s">
        <v>12</v>
      </c>
      <c r="D292" t="s">
        <v>12</v>
      </c>
      <c r="E292">
        <v>4</v>
      </c>
      <c r="F292">
        <v>3</v>
      </c>
      <c r="G292">
        <v>2</v>
      </c>
      <c r="H292">
        <v>1</v>
      </c>
      <c r="I292">
        <v>4</v>
      </c>
      <c r="J292">
        <v>5</v>
      </c>
      <c r="K292">
        <v>11</v>
      </c>
    </row>
    <row r="293" spans="1:11" x14ac:dyDescent="0.35">
      <c r="A293">
        <v>292</v>
      </c>
      <c r="B293" t="str">
        <f ca="1">IF(LOWER(LEFT(TRIM(tbl_Lifestyle[[#This Row],[activities]]),1))="y","yes","no")</f>
        <v>no</v>
      </c>
      <c r="C293" t="s">
        <v>12</v>
      </c>
      <c r="D293" t="s">
        <v>11</v>
      </c>
      <c r="E293">
        <v>4</v>
      </c>
      <c r="F293">
        <v>2</v>
      </c>
      <c r="G293">
        <v>2</v>
      </c>
      <c r="H293">
        <v>1</v>
      </c>
      <c r="I293">
        <v>2</v>
      </c>
      <c r="J293">
        <v>3</v>
      </c>
      <c r="K293">
        <v>0</v>
      </c>
    </row>
    <row r="294" spans="1:11" x14ac:dyDescent="0.35">
      <c r="A294">
        <v>293</v>
      </c>
      <c r="B294" t="str">
        <f ca="1">IF(LOWER(LEFT(TRIM(tbl_Lifestyle[[#This Row],[activities]]),1))="y","yes","no")</f>
        <v>no</v>
      </c>
      <c r="C294" t="s">
        <v>12</v>
      </c>
      <c r="D294" t="s">
        <v>12</v>
      </c>
      <c r="E294">
        <v>5</v>
      </c>
      <c r="F294">
        <v>4</v>
      </c>
      <c r="G294">
        <v>3</v>
      </c>
      <c r="H294">
        <v>1</v>
      </c>
      <c r="I294">
        <v>1</v>
      </c>
      <c r="J294">
        <v>5</v>
      </c>
      <c r="K294">
        <v>12</v>
      </c>
    </row>
    <row r="295" spans="1:11" x14ac:dyDescent="0.35">
      <c r="A295">
        <v>294</v>
      </c>
      <c r="B295" t="str">
        <f ca="1">IF(LOWER(LEFT(TRIM(tbl_Lifestyle[[#This Row],[activities]]),1))="y","yes","no")</f>
        <v>no</v>
      </c>
      <c r="C295" t="s">
        <v>11</v>
      </c>
      <c r="D295" t="s">
        <v>11</v>
      </c>
      <c r="E295">
        <v>3</v>
      </c>
      <c r="F295">
        <v>1</v>
      </c>
      <c r="G295">
        <v>2</v>
      </c>
      <c r="H295">
        <v>1</v>
      </c>
      <c r="I295">
        <v>1</v>
      </c>
      <c r="J295">
        <v>3</v>
      </c>
      <c r="K295">
        <v>6</v>
      </c>
    </row>
    <row r="296" spans="1:11" x14ac:dyDescent="0.35">
      <c r="A296">
        <v>295</v>
      </c>
      <c r="B296" t="str">
        <f ca="1">IF(LOWER(LEFT(TRIM(tbl_Lifestyle[[#This Row],[activities]]),1))="y","yes","no")</f>
        <v>yes</v>
      </c>
      <c r="C296" t="s">
        <v>12</v>
      </c>
      <c r="D296" t="s">
        <v>11</v>
      </c>
      <c r="E296">
        <v>5</v>
      </c>
      <c r="F296">
        <v>4</v>
      </c>
      <c r="G296">
        <v>2</v>
      </c>
      <c r="H296">
        <v>1</v>
      </c>
      <c r="I296">
        <v>1</v>
      </c>
      <c r="J296">
        <v>4</v>
      </c>
      <c r="K296">
        <v>8</v>
      </c>
    </row>
    <row r="297" spans="1:11" x14ac:dyDescent="0.35">
      <c r="A297">
        <v>296</v>
      </c>
      <c r="B297" t="str">
        <f ca="1">IF(LOWER(LEFT(TRIM(tbl_Lifestyle[[#This Row],[activities]]),1))="y","yes","no")</f>
        <v>no</v>
      </c>
      <c r="C297" t="s">
        <v>12</v>
      </c>
      <c r="D297" t="s">
        <v>11</v>
      </c>
      <c r="E297">
        <v>4</v>
      </c>
      <c r="F297">
        <v>4</v>
      </c>
      <c r="G297">
        <v>3</v>
      </c>
      <c r="H297">
        <v>1</v>
      </c>
      <c r="I297">
        <v>3</v>
      </c>
      <c r="J297">
        <v>5</v>
      </c>
      <c r="K297">
        <v>4</v>
      </c>
    </row>
    <row r="298" spans="1:11" x14ac:dyDescent="0.35">
      <c r="A298">
        <v>297</v>
      </c>
      <c r="B298" t="str">
        <f ca="1">IF(LOWER(LEFT(TRIM(tbl_Lifestyle[[#This Row],[activities]]),1))="y","yes","no")</f>
        <v>yes</v>
      </c>
      <c r="C298" t="s">
        <v>12</v>
      </c>
      <c r="D298" t="s">
        <v>11</v>
      </c>
      <c r="E298">
        <v>2</v>
      </c>
      <c r="F298">
        <v>3</v>
      </c>
      <c r="G298">
        <v>4</v>
      </c>
      <c r="H298">
        <v>2</v>
      </c>
      <c r="I298">
        <v>3</v>
      </c>
      <c r="J298">
        <v>2</v>
      </c>
      <c r="K298">
        <v>0</v>
      </c>
    </row>
    <row r="299" spans="1:11" x14ac:dyDescent="0.35">
      <c r="A299">
        <v>298</v>
      </c>
      <c r="B299" t="str">
        <f ca="1">IF(LOWER(LEFT(TRIM(tbl_Lifestyle[[#This Row],[activities]]),1))="y","yes","no")</f>
        <v>no</v>
      </c>
      <c r="C299" t="s">
        <v>12</v>
      </c>
      <c r="D299" t="s">
        <v>12</v>
      </c>
      <c r="E299">
        <v>4</v>
      </c>
      <c r="F299">
        <v>4</v>
      </c>
      <c r="G299">
        <v>5</v>
      </c>
      <c r="H299">
        <v>1</v>
      </c>
      <c r="I299">
        <v>2</v>
      </c>
      <c r="J299">
        <v>2</v>
      </c>
      <c r="K299">
        <v>10</v>
      </c>
    </row>
    <row r="300" spans="1:11" x14ac:dyDescent="0.35">
      <c r="A300">
        <v>299</v>
      </c>
      <c r="B300" t="str">
        <f ca="1">IF(LOWER(LEFT(TRIM(tbl_Lifestyle[[#This Row],[activities]]),1))="y","yes","no")</f>
        <v>no</v>
      </c>
      <c r="C300" t="s">
        <v>12</v>
      </c>
      <c r="D300" t="s">
        <v>11</v>
      </c>
      <c r="E300">
        <v>4</v>
      </c>
      <c r="F300">
        <v>3</v>
      </c>
      <c r="G300">
        <v>3</v>
      </c>
      <c r="H300">
        <v>1</v>
      </c>
      <c r="I300">
        <v>1</v>
      </c>
      <c r="J300">
        <v>3</v>
      </c>
      <c r="K300">
        <v>0</v>
      </c>
    </row>
    <row r="301" spans="1:11" x14ac:dyDescent="0.35">
      <c r="A301">
        <v>300</v>
      </c>
      <c r="B301" t="str">
        <f ca="1">IF(LOWER(LEFT(TRIM(tbl_Lifestyle[[#This Row],[activities]]),1))="y","yes","no")</f>
        <v>no</v>
      </c>
      <c r="C301" t="s">
        <v>12</v>
      </c>
      <c r="D301" t="s">
        <v>12</v>
      </c>
      <c r="E301">
        <v>1</v>
      </c>
      <c r="F301">
        <v>4</v>
      </c>
      <c r="G301">
        <v>2</v>
      </c>
      <c r="H301">
        <v>2</v>
      </c>
      <c r="I301">
        <v>2</v>
      </c>
      <c r="J301">
        <v>1</v>
      </c>
      <c r="K301">
        <v>5</v>
      </c>
    </row>
    <row r="302" spans="1:11" x14ac:dyDescent="0.35">
      <c r="A302">
        <v>301</v>
      </c>
      <c r="B302" t="str">
        <f ca="1">IF(LOWER(LEFT(TRIM(tbl_Lifestyle[[#This Row],[activities]]),1))="y","yes","no")</f>
        <v>no</v>
      </c>
      <c r="C302" t="s">
        <v>12</v>
      </c>
      <c r="D302" t="s">
        <v>12</v>
      </c>
      <c r="E302">
        <v>4</v>
      </c>
      <c r="F302">
        <v>2</v>
      </c>
      <c r="G302">
        <v>4</v>
      </c>
      <c r="H302">
        <v>1</v>
      </c>
      <c r="I302">
        <v>1</v>
      </c>
      <c r="J302">
        <v>4</v>
      </c>
      <c r="K302">
        <v>14</v>
      </c>
    </row>
    <row r="303" spans="1:11" x14ac:dyDescent="0.35">
      <c r="A303">
        <v>302</v>
      </c>
      <c r="B303" t="str">
        <f ca="1">IF(LOWER(LEFT(TRIM(tbl_Lifestyle[[#This Row],[activities]]),1))="y","yes","no")</f>
        <v>no</v>
      </c>
      <c r="C303" t="s">
        <v>12</v>
      </c>
      <c r="D303" t="s">
        <v>11</v>
      </c>
      <c r="E303">
        <v>4</v>
      </c>
      <c r="F303">
        <v>1</v>
      </c>
      <c r="G303">
        <v>1</v>
      </c>
      <c r="H303">
        <v>2</v>
      </c>
      <c r="I303">
        <v>2</v>
      </c>
      <c r="J303">
        <v>5</v>
      </c>
      <c r="K303">
        <v>0</v>
      </c>
    </row>
    <row r="304" spans="1:11" x14ac:dyDescent="0.35">
      <c r="A304">
        <v>303</v>
      </c>
      <c r="B304" t="str">
        <f ca="1">IF(LOWER(LEFT(TRIM(tbl_Lifestyle[[#This Row],[activities]]),1))="y","yes","no")</f>
        <v>no</v>
      </c>
      <c r="C304" t="s">
        <v>12</v>
      </c>
      <c r="D304" t="s">
        <v>11</v>
      </c>
      <c r="E304">
        <v>4</v>
      </c>
      <c r="F304">
        <v>3</v>
      </c>
      <c r="G304">
        <v>3</v>
      </c>
      <c r="H304">
        <v>1</v>
      </c>
      <c r="I304">
        <v>1</v>
      </c>
      <c r="J304">
        <v>3</v>
      </c>
      <c r="K304">
        <v>0</v>
      </c>
    </row>
    <row r="305" spans="1:11" x14ac:dyDescent="0.35">
      <c r="A305">
        <v>304</v>
      </c>
      <c r="B305" t="str">
        <f ca="1">IF(LOWER(LEFT(TRIM(tbl_Lifestyle[[#This Row],[activities]]),1))="y","yes","no")</f>
        <v>yes</v>
      </c>
      <c r="C305" t="s">
        <v>12</v>
      </c>
      <c r="D305" t="s">
        <v>11</v>
      </c>
      <c r="E305">
        <v>5</v>
      </c>
      <c r="F305">
        <v>2</v>
      </c>
      <c r="G305">
        <v>2</v>
      </c>
      <c r="H305">
        <v>1</v>
      </c>
      <c r="I305">
        <v>2</v>
      </c>
      <c r="J305">
        <v>5</v>
      </c>
      <c r="K305">
        <v>0</v>
      </c>
    </row>
    <row r="306" spans="1:11" x14ac:dyDescent="0.35">
      <c r="A306">
        <v>305</v>
      </c>
      <c r="B306" t="str">
        <f ca="1">IF(LOWER(LEFT(TRIM(tbl_Lifestyle[[#This Row],[activities]]),1))="y","yes","no")</f>
        <v>yes</v>
      </c>
      <c r="C306" t="s">
        <v>12</v>
      </c>
      <c r="D306" t="s">
        <v>12</v>
      </c>
      <c r="E306">
        <v>4</v>
      </c>
      <c r="F306">
        <v>4</v>
      </c>
      <c r="G306">
        <v>4</v>
      </c>
      <c r="H306">
        <v>1</v>
      </c>
      <c r="I306">
        <v>1</v>
      </c>
      <c r="J306">
        <v>3</v>
      </c>
      <c r="K306">
        <v>20</v>
      </c>
    </row>
    <row r="307" spans="1:11" x14ac:dyDescent="0.35">
      <c r="A307">
        <v>306</v>
      </c>
      <c r="B307" t="str">
        <f ca="1">IF(LOWER(LEFT(TRIM(tbl_Lifestyle[[#This Row],[activities]]),1))="y","yes","no")</f>
        <v>yes</v>
      </c>
      <c r="C307" t="s">
        <v>12</v>
      </c>
      <c r="D307" t="s">
        <v>11</v>
      </c>
      <c r="E307">
        <v>4</v>
      </c>
      <c r="F307">
        <v>4</v>
      </c>
      <c r="G307">
        <v>3</v>
      </c>
      <c r="H307">
        <v>1</v>
      </c>
      <c r="I307">
        <v>1</v>
      </c>
      <c r="J307">
        <v>3</v>
      </c>
      <c r="K307">
        <v>8</v>
      </c>
    </row>
    <row r="308" spans="1:11" x14ac:dyDescent="0.35">
      <c r="A308">
        <v>307</v>
      </c>
      <c r="B308" t="str">
        <f ca="1">IF(LOWER(LEFT(TRIM(tbl_Lifestyle[[#This Row],[activities]]),1))="y","yes","no")</f>
        <v>yes</v>
      </c>
      <c r="C308" t="s">
        <v>11</v>
      </c>
      <c r="D308" t="s">
        <v>11</v>
      </c>
      <c r="E308">
        <v>5</v>
      </c>
      <c r="F308">
        <v>5</v>
      </c>
      <c r="G308">
        <v>3</v>
      </c>
      <c r="H308">
        <v>1</v>
      </c>
      <c r="I308">
        <v>1</v>
      </c>
      <c r="J308">
        <v>5</v>
      </c>
      <c r="K308">
        <v>0</v>
      </c>
    </row>
    <row r="309" spans="1:11" x14ac:dyDescent="0.35">
      <c r="A309">
        <v>308</v>
      </c>
      <c r="B309" t="str">
        <f ca="1">IF(LOWER(LEFT(TRIM(tbl_Lifestyle[[#This Row],[activities]]),1))="y","yes","no")</f>
        <v>no</v>
      </c>
      <c r="C309" t="s">
        <v>12</v>
      </c>
      <c r="D309" t="s">
        <v>12</v>
      </c>
      <c r="E309">
        <v>4</v>
      </c>
      <c r="F309">
        <v>3</v>
      </c>
      <c r="G309">
        <v>4</v>
      </c>
      <c r="H309">
        <v>1</v>
      </c>
      <c r="I309">
        <v>1</v>
      </c>
      <c r="J309">
        <v>4</v>
      </c>
      <c r="K309">
        <v>38</v>
      </c>
    </row>
    <row r="310" spans="1:11" x14ac:dyDescent="0.35">
      <c r="A310">
        <v>309</v>
      </c>
      <c r="B310" t="str">
        <f ca="1">IF(LOWER(LEFT(TRIM(tbl_Lifestyle[[#This Row],[activities]]),1))="y","yes","no")</f>
        <v>yes</v>
      </c>
      <c r="C310" t="s">
        <v>11</v>
      </c>
      <c r="D310" t="s">
        <v>12</v>
      </c>
      <c r="E310">
        <v>4</v>
      </c>
      <c r="F310">
        <v>5</v>
      </c>
      <c r="G310">
        <v>3</v>
      </c>
      <c r="H310">
        <v>1</v>
      </c>
      <c r="I310">
        <v>2</v>
      </c>
      <c r="J310">
        <v>5</v>
      </c>
      <c r="K310">
        <v>0</v>
      </c>
    </row>
    <row r="311" spans="1:11" x14ac:dyDescent="0.35">
      <c r="A311">
        <v>310</v>
      </c>
      <c r="B311" t="str">
        <f ca="1">IF(LOWER(LEFT(TRIM(tbl_Lifestyle[[#This Row],[activities]]),1))="y","yes","no")</f>
        <v>yes</v>
      </c>
      <c r="C311" t="s">
        <v>12</v>
      </c>
      <c r="D311" t="s">
        <v>11</v>
      </c>
      <c r="E311">
        <v>4</v>
      </c>
      <c r="F311">
        <v>4</v>
      </c>
      <c r="G311">
        <v>3</v>
      </c>
      <c r="H311">
        <v>1</v>
      </c>
      <c r="I311">
        <v>3</v>
      </c>
      <c r="J311">
        <v>3</v>
      </c>
      <c r="K311">
        <v>18</v>
      </c>
    </row>
    <row r="312" spans="1:11" x14ac:dyDescent="0.35">
      <c r="A312">
        <v>311</v>
      </c>
      <c r="B312" t="str">
        <f ca="1">IF(LOWER(LEFT(TRIM(tbl_Lifestyle[[#This Row],[activities]]),1))="y","yes","no")</f>
        <v>yes</v>
      </c>
      <c r="C312" t="s">
        <v>11</v>
      </c>
      <c r="D312" t="s">
        <v>12</v>
      </c>
      <c r="E312">
        <v>4</v>
      </c>
      <c r="F312">
        <v>2</v>
      </c>
      <c r="G312">
        <v>4</v>
      </c>
      <c r="H312">
        <v>2</v>
      </c>
      <c r="I312">
        <v>2</v>
      </c>
      <c r="J312">
        <v>3</v>
      </c>
      <c r="K312">
        <v>0</v>
      </c>
    </row>
    <row r="313" spans="1:11" x14ac:dyDescent="0.35">
      <c r="A313">
        <v>312</v>
      </c>
      <c r="B313" t="str">
        <f ca="1">IF(LOWER(LEFT(TRIM(tbl_Lifestyle[[#This Row],[activities]]),1))="y","yes","no")</f>
        <v>no</v>
      </c>
      <c r="C313" t="s">
        <v>12</v>
      </c>
      <c r="D313" t="s">
        <v>12</v>
      </c>
      <c r="E313">
        <v>3</v>
      </c>
      <c r="F313">
        <v>4</v>
      </c>
      <c r="G313">
        <v>1</v>
      </c>
      <c r="H313">
        <v>1</v>
      </c>
      <c r="I313">
        <v>1</v>
      </c>
      <c r="J313">
        <v>2</v>
      </c>
      <c r="K313">
        <v>20</v>
      </c>
    </row>
    <row r="314" spans="1:11" x14ac:dyDescent="0.35">
      <c r="A314">
        <v>313</v>
      </c>
      <c r="B314" t="str">
        <f ca="1">IF(LOWER(LEFT(TRIM(tbl_Lifestyle[[#This Row],[activities]]),1))="y","yes","no")</f>
        <v>no</v>
      </c>
      <c r="C314" t="s">
        <v>12</v>
      </c>
      <c r="D314" t="s">
        <v>11</v>
      </c>
      <c r="E314">
        <v>4</v>
      </c>
      <c r="F314">
        <v>5</v>
      </c>
      <c r="G314">
        <v>2</v>
      </c>
      <c r="H314">
        <v>2</v>
      </c>
      <c r="I314">
        <v>2</v>
      </c>
      <c r="J314">
        <v>4</v>
      </c>
      <c r="K314">
        <v>3</v>
      </c>
    </row>
    <row r="315" spans="1:11" x14ac:dyDescent="0.35">
      <c r="A315">
        <v>314</v>
      </c>
      <c r="B315" t="str">
        <f ca="1">IF(LOWER(LEFT(TRIM(tbl_Lifestyle[[#This Row],[activities]]),1))="y","yes","no")</f>
        <v>no</v>
      </c>
      <c r="C315" t="s">
        <v>12</v>
      </c>
      <c r="D315" t="s">
        <v>12</v>
      </c>
      <c r="E315">
        <v>4</v>
      </c>
      <c r="F315">
        <v>2</v>
      </c>
      <c r="G315">
        <v>2</v>
      </c>
      <c r="H315">
        <v>1</v>
      </c>
      <c r="I315">
        <v>2</v>
      </c>
      <c r="J315">
        <v>1</v>
      </c>
      <c r="K315">
        <v>22</v>
      </c>
    </row>
    <row r="316" spans="1:11" x14ac:dyDescent="0.35">
      <c r="A316">
        <v>315</v>
      </c>
      <c r="B316" t="str">
        <f ca="1">IF(LOWER(LEFT(TRIM(tbl_Lifestyle[[#This Row],[activities]]),1))="y","yes","no")</f>
        <v>no</v>
      </c>
      <c r="C316" t="s">
        <v>12</v>
      </c>
      <c r="D316" t="s">
        <v>12</v>
      </c>
      <c r="E316">
        <v>4</v>
      </c>
      <c r="F316">
        <v>1</v>
      </c>
      <c r="G316">
        <v>2</v>
      </c>
      <c r="H316">
        <v>1</v>
      </c>
      <c r="I316">
        <v>1</v>
      </c>
      <c r="J316">
        <v>3</v>
      </c>
      <c r="K316">
        <v>14</v>
      </c>
    </row>
    <row r="317" spans="1:11" x14ac:dyDescent="0.35">
      <c r="A317">
        <v>316</v>
      </c>
      <c r="B317" t="str">
        <f ca="1">IF(LOWER(LEFT(TRIM(tbl_Lifestyle[[#This Row],[activities]]),1))="y","yes","no")</f>
        <v>no</v>
      </c>
      <c r="C317" t="s">
        <v>12</v>
      </c>
      <c r="D317" t="s">
        <v>12</v>
      </c>
      <c r="E317">
        <v>4</v>
      </c>
      <c r="F317">
        <v>1</v>
      </c>
      <c r="G317">
        <v>2</v>
      </c>
      <c r="H317">
        <v>1</v>
      </c>
      <c r="I317">
        <v>1</v>
      </c>
      <c r="J317">
        <v>3</v>
      </c>
      <c r="K317">
        <v>40</v>
      </c>
    </row>
    <row r="318" spans="1:11" x14ac:dyDescent="0.35">
      <c r="A318">
        <v>317</v>
      </c>
      <c r="B318" t="str">
        <f ca="1">IF(LOWER(LEFT(TRIM(tbl_Lifestyle[[#This Row],[activities]]),1))="y","yes","no")</f>
        <v>yes</v>
      </c>
      <c r="C318" t="s">
        <v>12</v>
      </c>
      <c r="D318" t="s">
        <v>11</v>
      </c>
      <c r="E318">
        <v>5</v>
      </c>
      <c r="F318">
        <v>3</v>
      </c>
      <c r="G318">
        <v>3</v>
      </c>
      <c r="H318">
        <v>1</v>
      </c>
      <c r="I318">
        <v>2</v>
      </c>
      <c r="J318">
        <v>1</v>
      </c>
      <c r="K318">
        <v>0</v>
      </c>
    </row>
    <row r="319" spans="1:11" x14ac:dyDescent="0.35">
      <c r="A319">
        <v>318</v>
      </c>
      <c r="B319" t="str">
        <f ca="1">IF(LOWER(LEFT(TRIM(tbl_Lifestyle[[#This Row],[activities]]),1))="y","yes","no")</f>
        <v>yes</v>
      </c>
      <c r="C319" t="s">
        <v>12</v>
      </c>
      <c r="D319" t="s">
        <v>12</v>
      </c>
      <c r="E319">
        <v>4</v>
      </c>
      <c r="F319">
        <v>3</v>
      </c>
      <c r="G319">
        <v>4</v>
      </c>
      <c r="H319">
        <v>1</v>
      </c>
      <c r="I319">
        <v>1</v>
      </c>
      <c r="J319">
        <v>5</v>
      </c>
      <c r="K319">
        <v>9</v>
      </c>
    </row>
    <row r="320" spans="1:11" x14ac:dyDescent="0.35">
      <c r="A320">
        <v>319</v>
      </c>
      <c r="B320" t="str">
        <f ca="1">IF(LOWER(LEFT(TRIM(tbl_Lifestyle[[#This Row],[activities]]),1))="y","yes","no")</f>
        <v>yes</v>
      </c>
      <c r="C320" t="s">
        <v>12</v>
      </c>
      <c r="D320" t="s">
        <v>11</v>
      </c>
      <c r="E320">
        <v>4</v>
      </c>
      <c r="F320">
        <v>3</v>
      </c>
      <c r="G320">
        <v>4</v>
      </c>
      <c r="H320">
        <v>2</v>
      </c>
      <c r="I320">
        <v>5</v>
      </c>
      <c r="J320">
        <v>5</v>
      </c>
      <c r="K320">
        <v>0</v>
      </c>
    </row>
    <row r="321" spans="1:11" x14ac:dyDescent="0.35">
      <c r="A321">
        <v>320</v>
      </c>
      <c r="B321" t="str">
        <f ca="1">IF(LOWER(LEFT(TRIM(tbl_Lifestyle[[#This Row],[activities]]),1))="y","yes","no")</f>
        <v>no</v>
      </c>
      <c r="C321" t="s">
        <v>12</v>
      </c>
      <c r="D321" t="s">
        <v>11</v>
      </c>
      <c r="E321">
        <v>4</v>
      </c>
      <c r="F321">
        <v>4</v>
      </c>
      <c r="G321">
        <v>4</v>
      </c>
      <c r="H321">
        <v>3</v>
      </c>
      <c r="I321">
        <v>3</v>
      </c>
      <c r="J321">
        <v>5</v>
      </c>
      <c r="K321">
        <v>2</v>
      </c>
    </row>
    <row r="322" spans="1:11" x14ac:dyDescent="0.35">
      <c r="A322">
        <v>321</v>
      </c>
      <c r="B322" t="str">
        <f ca="1">IF(LOWER(LEFT(TRIM(tbl_Lifestyle[[#This Row],[activities]]),1))="y","yes","no")</f>
        <v>no</v>
      </c>
      <c r="C322" t="s">
        <v>12</v>
      </c>
      <c r="D322" t="s">
        <v>12</v>
      </c>
      <c r="E322">
        <v>5</v>
      </c>
      <c r="F322">
        <v>2</v>
      </c>
      <c r="G322">
        <v>2</v>
      </c>
      <c r="H322">
        <v>1</v>
      </c>
      <c r="I322">
        <v>2</v>
      </c>
      <c r="J322">
        <v>5</v>
      </c>
      <c r="K322">
        <v>23</v>
      </c>
    </row>
    <row r="323" spans="1:11" x14ac:dyDescent="0.35">
      <c r="A323">
        <v>322</v>
      </c>
      <c r="B323" t="str">
        <f ca="1">IF(LOWER(LEFT(TRIM(tbl_Lifestyle[[#This Row],[activities]]),1))="y","yes","no")</f>
        <v>no</v>
      </c>
      <c r="C323" t="s">
        <v>11</v>
      </c>
      <c r="D323" t="s">
        <v>12</v>
      </c>
      <c r="E323">
        <v>4</v>
      </c>
      <c r="F323">
        <v>2</v>
      </c>
      <c r="G323">
        <v>2</v>
      </c>
      <c r="H323">
        <v>1</v>
      </c>
      <c r="I323">
        <v>1</v>
      </c>
      <c r="J323">
        <v>3</v>
      </c>
      <c r="K323">
        <v>12</v>
      </c>
    </row>
    <row r="324" spans="1:11" x14ac:dyDescent="0.35">
      <c r="A324">
        <v>323</v>
      </c>
      <c r="B324" t="str">
        <f ca="1">IF(LOWER(LEFT(TRIM(tbl_Lifestyle[[#This Row],[activities]]),1))="y","yes","no")</f>
        <v>yes</v>
      </c>
      <c r="C324" t="s">
        <v>12</v>
      </c>
      <c r="D324" t="s">
        <v>11</v>
      </c>
      <c r="E324">
        <v>3</v>
      </c>
      <c r="F324">
        <v>3</v>
      </c>
      <c r="G324">
        <v>2</v>
      </c>
      <c r="H324">
        <v>2</v>
      </c>
      <c r="I324">
        <v>2</v>
      </c>
      <c r="J324">
        <v>3</v>
      </c>
      <c r="K324">
        <v>3</v>
      </c>
    </row>
    <row r="325" spans="1:11" x14ac:dyDescent="0.35">
      <c r="A325">
        <v>324</v>
      </c>
      <c r="B325" t="str">
        <f ca="1">IF(LOWER(LEFT(TRIM(tbl_Lifestyle[[#This Row],[activities]]),1))="y","yes","no")</f>
        <v>no</v>
      </c>
      <c r="C325" t="s">
        <v>12</v>
      </c>
      <c r="D325" t="s">
        <v>11</v>
      </c>
      <c r="E325">
        <v>3</v>
      </c>
      <c r="F325">
        <v>4</v>
      </c>
      <c r="G325">
        <v>3</v>
      </c>
      <c r="H325">
        <v>2</v>
      </c>
      <c r="I325">
        <v>3</v>
      </c>
      <c r="J325">
        <v>5</v>
      </c>
      <c r="K325">
        <v>1</v>
      </c>
    </row>
    <row r="326" spans="1:11" x14ac:dyDescent="0.35">
      <c r="A326">
        <v>325</v>
      </c>
      <c r="B326" t="str">
        <f ca="1">IF(LOWER(LEFT(TRIM(tbl_Lifestyle[[#This Row],[activities]]),1))="y","yes","no")</f>
        <v>no</v>
      </c>
      <c r="C326" t="s">
        <v>12</v>
      </c>
      <c r="D326" t="s">
        <v>11</v>
      </c>
      <c r="E326">
        <v>3</v>
      </c>
      <c r="F326">
        <v>3</v>
      </c>
      <c r="G326">
        <v>3</v>
      </c>
      <c r="H326">
        <v>2</v>
      </c>
      <c r="I326">
        <v>3</v>
      </c>
      <c r="J326">
        <v>2</v>
      </c>
      <c r="K326">
        <v>0</v>
      </c>
    </row>
    <row r="327" spans="1:11" x14ac:dyDescent="0.35">
      <c r="A327">
        <v>326</v>
      </c>
      <c r="B327" t="str">
        <f ca="1">IF(LOWER(LEFT(TRIM(tbl_Lifestyle[[#This Row],[activities]]),1))="y","yes","no")</f>
        <v>yes</v>
      </c>
      <c r="C327" t="s">
        <v>12</v>
      </c>
      <c r="D327" t="s">
        <v>11</v>
      </c>
      <c r="E327">
        <v>4</v>
      </c>
      <c r="F327">
        <v>3</v>
      </c>
      <c r="G327">
        <v>3</v>
      </c>
      <c r="H327">
        <v>2</v>
      </c>
      <c r="I327">
        <v>2</v>
      </c>
      <c r="J327">
        <v>3</v>
      </c>
      <c r="K327">
        <v>3</v>
      </c>
    </row>
    <row r="328" spans="1:11" x14ac:dyDescent="0.35">
      <c r="A328">
        <v>327</v>
      </c>
      <c r="B328" t="str">
        <f ca="1">IF(LOWER(LEFT(TRIM(tbl_Lifestyle[[#This Row],[activities]]),1))="y","yes","no")</f>
        <v>yes</v>
      </c>
      <c r="C328" t="s">
        <v>12</v>
      </c>
      <c r="D328" t="s">
        <v>11</v>
      </c>
      <c r="E328">
        <v>4</v>
      </c>
      <c r="F328">
        <v>3</v>
      </c>
      <c r="G328">
        <v>5</v>
      </c>
      <c r="H328">
        <v>3</v>
      </c>
      <c r="I328">
        <v>5</v>
      </c>
      <c r="J328">
        <v>5</v>
      </c>
      <c r="K328">
        <v>3</v>
      </c>
    </row>
    <row r="329" spans="1:11" x14ac:dyDescent="0.35">
      <c r="A329">
        <v>328</v>
      </c>
      <c r="B329" t="str">
        <f ca="1">IF(LOWER(LEFT(TRIM(tbl_Lifestyle[[#This Row],[activities]]),1))="y","yes","no")</f>
        <v>no</v>
      </c>
      <c r="C329" t="s">
        <v>12</v>
      </c>
      <c r="D329" t="s">
        <v>11</v>
      </c>
      <c r="E329">
        <v>4</v>
      </c>
      <c r="F329">
        <v>4</v>
      </c>
      <c r="G329">
        <v>5</v>
      </c>
      <c r="H329">
        <v>5</v>
      </c>
      <c r="I329">
        <v>5</v>
      </c>
      <c r="J329">
        <v>4</v>
      </c>
      <c r="K329">
        <v>8</v>
      </c>
    </row>
    <row r="330" spans="1:11" x14ac:dyDescent="0.35">
      <c r="A330">
        <v>329</v>
      </c>
      <c r="B330" t="str">
        <f ca="1">IF(LOWER(LEFT(TRIM(tbl_Lifestyle[[#This Row],[activities]]),1))="y","yes","no")</f>
        <v>yes</v>
      </c>
      <c r="C330" t="s">
        <v>12</v>
      </c>
      <c r="D330" t="s">
        <v>11</v>
      </c>
      <c r="E330">
        <v>5</v>
      </c>
      <c r="F330">
        <v>4</v>
      </c>
      <c r="G330">
        <v>4</v>
      </c>
      <c r="H330">
        <v>1</v>
      </c>
      <c r="I330">
        <v>3</v>
      </c>
      <c r="J330">
        <v>4</v>
      </c>
      <c r="K330">
        <v>7</v>
      </c>
    </row>
    <row r="331" spans="1:11" x14ac:dyDescent="0.35">
      <c r="A331">
        <v>330</v>
      </c>
      <c r="B331" t="str">
        <f ca="1">IF(LOWER(LEFT(TRIM(tbl_Lifestyle[[#This Row],[activities]]),1))="y","yes","no")</f>
        <v>no</v>
      </c>
      <c r="C331" t="s">
        <v>12</v>
      </c>
      <c r="D331" t="s">
        <v>12</v>
      </c>
      <c r="E331">
        <v>4</v>
      </c>
      <c r="F331">
        <v>3</v>
      </c>
      <c r="G331">
        <v>3</v>
      </c>
      <c r="H331">
        <v>1</v>
      </c>
      <c r="I331">
        <v>2</v>
      </c>
      <c r="J331">
        <v>4</v>
      </c>
      <c r="K331">
        <v>4</v>
      </c>
    </row>
    <row r="332" spans="1:11" x14ac:dyDescent="0.35">
      <c r="A332">
        <v>331</v>
      </c>
      <c r="B332" t="str">
        <f ca="1">IF(LOWER(LEFT(TRIM(tbl_Lifestyle[[#This Row],[activities]]),1))="y","yes","no")</f>
        <v>yes</v>
      </c>
      <c r="C332" t="s">
        <v>12</v>
      </c>
      <c r="D332" t="s">
        <v>11</v>
      </c>
      <c r="E332">
        <v>4</v>
      </c>
      <c r="F332">
        <v>5</v>
      </c>
      <c r="G332">
        <v>5</v>
      </c>
      <c r="H332">
        <v>2</v>
      </c>
      <c r="I332">
        <v>4</v>
      </c>
      <c r="J332">
        <v>5</v>
      </c>
      <c r="K332">
        <v>2</v>
      </c>
    </row>
    <row r="333" spans="1:11" x14ac:dyDescent="0.35">
      <c r="A333">
        <v>332</v>
      </c>
      <c r="B333" t="str">
        <f ca="1">IF(LOWER(LEFT(TRIM(tbl_Lifestyle[[#This Row],[activities]]),1))="y","yes","no")</f>
        <v>no</v>
      </c>
      <c r="C333" t="s">
        <v>12</v>
      </c>
      <c r="D333" t="s">
        <v>12</v>
      </c>
      <c r="E333">
        <v>4</v>
      </c>
      <c r="F333">
        <v>4</v>
      </c>
      <c r="G333">
        <v>3</v>
      </c>
      <c r="H333">
        <v>1</v>
      </c>
      <c r="I333">
        <v>1</v>
      </c>
      <c r="J333">
        <v>5</v>
      </c>
      <c r="K333">
        <v>7</v>
      </c>
    </row>
    <row r="334" spans="1:11" x14ac:dyDescent="0.35">
      <c r="A334">
        <v>333</v>
      </c>
      <c r="B334" t="str">
        <f ca="1">IF(LOWER(LEFT(TRIM(tbl_Lifestyle[[#This Row],[activities]]),1))="y","yes","no")</f>
        <v>yes</v>
      </c>
      <c r="C334" t="s">
        <v>12</v>
      </c>
      <c r="D334" t="s">
        <v>11</v>
      </c>
      <c r="E334">
        <v>5</v>
      </c>
      <c r="F334">
        <v>3</v>
      </c>
      <c r="G334">
        <v>4</v>
      </c>
      <c r="H334">
        <v>1</v>
      </c>
      <c r="I334">
        <v>1</v>
      </c>
      <c r="J334">
        <v>4</v>
      </c>
      <c r="K334">
        <v>0</v>
      </c>
    </row>
    <row r="335" spans="1:11" x14ac:dyDescent="0.35">
      <c r="A335">
        <v>334</v>
      </c>
      <c r="B335" t="str">
        <f ca="1">IF(LOWER(LEFT(TRIM(tbl_Lifestyle[[#This Row],[activities]]),1))="y","yes","no")</f>
        <v>yes</v>
      </c>
      <c r="C335" t="s">
        <v>12</v>
      </c>
      <c r="D335" t="s">
        <v>12</v>
      </c>
      <c r="E335">
        <v>4</v>
      </c>
      <c r="F335">
        <v>3</v>
      </c>
      <c r="G335">
        <v>3</v>
      </c>
      <c r="H335">
        <v>1</v>
      </c>
      <c r="I335">
        <v>1</v>
      </c>
      <c r="J335">
        <v>2</v>
      </c>
      <c r="K335">
        <v>0</v>
      </c>
    </row>
    <row r="336" spans="1:11" x14ac:dyDescent="0.35">
      <c r="A336">
        <v>335</v>
      </c>
      <c r="B336" t="str">
        <f ca="1">IF(LOWER(LEFT(TRIM(tbl_Lifestyle[[#This Row],[activities]]),1))="y","yes","no")</f>
        <v>yes</v>
      </c>
      <c r="C336" t="s">
        <v>11</v>
      </c>
      <c r="D336" t="s">
        <v>11</v>
      </c>
      <c r="E336">
        <v>4</v>
      </c>
      <c r="F336">
        <v>4</v>
      </c>
      <c r="G336">
        <v>4</v>
      </c>
      <c r="H336">
        <v>1</v>
      </c>
      <c r="I336">
        <v>1</v>
      </c>
      <c r="J336">
        <v>4</v>
      </c>
      <c r="K336">
        <v>0</v>
      </c>
    </row>
    <row r="337" spans="1:11" x14ac:dyDescent="0.35">
      <c r="A337">
        <v>336</v>
      </c>
      <c r="B337" t="str">
        <f ca="1">IF(LOWER(LEFT(TRIM(tbl_Lifestyle[[#This Row],[activities]]),1))="y","yes","no")</f>
        <v>no</v>
      </c>
      <c r="C337" t="s">
        <v>12</v>
      </c>
      <c r="D337" t="s">
        <v>11</v>
      </c>
      <c r="E337">
        <v>4</v>
      </c>
      <c r="F337">
        <v>4</v>
      </c>
      <c r="G337">
        <v>5</v>
      </c>
      <c r="H337">
        <v>1</v>
      </c>
      <c r="I337">
        <v>3</v>
      </c>
      <c r="J337">
        <v>5</v>
      </c>
      <c r="K337">
        <v>16</v>
      </c>
    </row>
    <row r="338" spans="1:11" x14ac:dyDescent="0.35">
      <c r="A338">
        <v>337</v>
      </c>
      <c r="B338" t="str">
        <f ca="1">IF(LOWER(LEFT(TRIM(tbl_Lifestyle[[#This Row],[activities]]),1))="y","yes","no")</f>
        <v>no</v>
      </c>
      <c r="C338" t="s">
        <v>11</v>
      </c>
      <c r="D338" t="s">
        <v>11</v>
      </c>
      <c r="E338">
        <v>5</v>
      </c>
      <c r="F338">
        <v>4</v>
      </c>
      <c r="G338">
        <v>3</v>
      </c>
      <c r="H338">
        <v>1</v>
      </c>
      <c r="I338">
        <v>2</v>
      </c>
      <c r="J338">
        <v>5</v>
      </c>
      <c r="K338">
        <v>12</v>
      </c>
    </row>
    <row r="339" spans="1:11" x14ac:dyDescent="0.35">
      <c r="A339">
        <v>338</v>
      </c>
      <c r="B339" t="str">
        <f ca="1">IF(LOWER(LEFT(TRIM(tbl_Lifestyle[[#This Row],[activities]]),1))="y","yes","no")</f>
        <v>no</v>
      </c>
      <c r="C339" t="s">
        <v>12</v>
      </c>
      <c r="D339" t="s">
        <v>12</v>
      </c>
      <c r="E339">
        <v>4</v>
      </c>
      <c r="F339">
        <v>3</v>
      </c>
      <c r="G339">
        <v>2</v>
      </c>
      <c r="H339">
        <v>2</v>
      </c>
      <c r="I339">
        <v>3</v>
      </c>
      <c r="J339">
        <v>2</v>
      </c>
      <c r="K339">
        <v>0</v>
      </c>
    </row>
    <row r="340" spans="1:11" x14ac:dyDescent="0.35">
      <c r="A340">
        <v>339</v>
      </c>
      <c r="B340" t="str">
        <f ca="1">IF(LOWER(LEFT(TRIM(tbl_Lifestyle[[#This Row],[activities]]),1))="y","yes","no")</f>
        <v>no</v>
      </c>
      <c r="C340" t="s">
        <v>12</v>
      </c>
      <c r="D340" t="s">
        <v>11</v>
      </c>
      <c r="E340">
        <v>5</v>
      </c>
      <c r="F340">
        <v>3</v>
      </c>
      <c r="G340">
        <v>3</v>
      </c>
      <c r="H340">
        <v>1</v>
      </c>
      <c r="I340">
        <v>1</v>
      </c>
      <c r="J340">
        <v>1</v>
      </c>
      <c r="K340">
        <v>7</v>
      </c>
    </row>
    <row r="341" spans="1:11" x14ac:dyDescent="0.35">
      <c r="A341">
        <v>340</v>
      </c>
      <c r="B341" t="str">
        <f ca="1">IF(LOWER(LEFT(TRIM(tbl_Lifestyle[[#This Row],[activities]]),1))="y","yes","no")</f>
        <v>no</v>
      </c>
      <c r="C341" t="s">
        <v>12</v>
      </c>
      <c r="D341" t="s">
        <v>11</v>
      </c>
      <c r="E341">
        <v>4</v>
      </c>
      <c r="F341">
        <v>3</v>
      </c>
      <c r="G341">
        <v>3</v>
      </c>
      <c r="H341">
        <v>2</v>
      </c>
      <c r="I341">
        <v>3</v>
      </c>
      <c r="J341">
        <v>2</v>
      </c>
      <c r="K341">
        <v>4</v>
      </c>
    </row>
    <row r="342" spans="1:11" x14ac:dyDescent="0.35">
      <c r="A342">
        <v>341</v>
      </c>
      <c r="B342" t="str">
        <f ca="1">IF(LOWER(LEFT(TRIM(tbl_Lifestyle[[#This Row],[activities]]),1))="y","yes","no")</f>
        <v>yes</v>
      </c>
      <c r="C342" t="s">
        <v>12</v>
      </c>
      <c r="D342" t="s">
        <v>12</v>
      </c>
      <c r="E342">
        <v>4</v>
      </c>
      <c r="F342">
        <v>3</v>
      </c>
      <c r="G342">
        <v>4</v>
      </c>
      <c r="H342">
        <v>1</v>
      </c>
      <c r="I342">
        <v>3</v>
      </c>
      <c r="J342">
        <v>3</v>
      </c>
      <c r="K342">
        <v>4</v>
      </c>
    </row>
    <row r="343" spans="1:11" x14ac:dyDescent="0.35">
      <c r="A343">
        <v>342</v>
      </c>
      <c r="B343" t="str">
        <f ca="1">IF(LOWER(LEFT(TRIM(tbl_Lifestyle[[#This Row],[activities]]),1))="y","yes","no")</f>
        <v>yes</v>
      </c>
      <c r="C343" t="s">
        <v>12</v>
      </c>
      <c r="D343" t="s">
        <v>11</v>
      </c>
      <c r="E343">
        <v>4</v>
      </c>
      <c r="F343">
        <v>3</v>
      </c>
      <c r="G343">
        <v>3</v>
      </c>
      <c r="H343">
        <v>2</v>
      </c>
      <c r="I343">
        <v>2</v>
      </c>
      <c r="J343">
        <v>2</v>
      </c>
      <c r="K343">
        <v>0</v>
      </c>
    </row>
    <row r="344" spans="1:11" x14ac:dyDescent="0.35">
      <c r="A344">
        <v>343</v>
      </c>
      <c r="B344" t="str">
        <f ca="1">IF(LOWER(LEFT(TRIM(tbl_Lifestyle[[#This Row],[activities]]),1))="y","yes","no")</f>
        <v>yes</v>
      </c>
      <c r="C344" t="s">
        <v>12</v>
      </c>
      <c r="D344" t="s">
        <v>12</v>
      </c>
      <c r="E344">
        <v>4</v>
      </c>
      <c r="F344">
        <v>3</v>
      </c>
      <c r="G344">
        <v>3</v>
      </c>
      <c r="H344">
        <v>1</v>
      </c>
      <c r="I344">
        <v>3</v>
      </c>
      <c r="J344">
        <v>5</v>
      </c>
      <c r="K344">
        <v>11</v>
      </c>
    </row>
    <row r="345" spans="1:11" x14ac:dyDescent="0.35">
      <c r="A345">
        <v>344</v>
      </c>
      <c r="B345" t="str">
        <f ca="1">IF(LOWER(LEFT(TRIM(tbl_Lifestyle[[#This Row],[activities]]),1))="y","yes","no")</f>
        <v>no</v>
      </c>
      <c r="C345" t="s">
        <v>12</v>
      </c>
      <c r="D345" t="s">
        <v>12</v>
      </c>
      <c r="E345">
        <v>3</v>
      </c>
      <c r="F345">
        <v>3</v>
      </c>
      <c r="G345">
        <v>1</v>
      </c>
      <c r="H345">
        <v>1</v>
      </c>
      <c r="I345">
        <v>2</v>
      </c>
      <c r="J345">
        <v>4</v>
      </c>
      <c r="K345">
        <v>0</v>
      </c>
    </row>
    <row r="346" spans="1:11" x14ac:dyDescent="0.35">
      <c r="A346">
        <v>345</v>
      </c>
      <c r="B346" t="str">
        <f ca="1">IF(LOWER(LEFT(TRIM(tbl_Lifestyle[[#This Row],[activities]]),1))="y","yes","no")</f>
        <v>no</v>
      </c>
      <c r="C346" t="s">
        <v>12</v>
      </c>
      <c r="D346" t="s">
        <v>11</v>
      </c>
      <c r="E346">
        <v>4</v>
      </c>
      <c r="F346">
        <v>3</v>
      </c>
      <c r="G346">
        <v>3</v>
      </c>
      <c r="H346">
        <v>1</v>
      </c>
      <c r="I346">
        <v>2</v>
      </c>
      <c r="J346">
        <v>3</v>
      </c>
      <c r="K346">
        <v>4</v>
      </c>
    </row>
    <row r="347" spans="1:11" x14ac:dyDescent="0.35">
      <c r="A347">
        <v>346</v>
      </c>
      <c r="B347" t="str">
        <f ca="1">IF(LOWER(LEFT(TRIM(tbl_Lifestyle[[#This Row],[activities]]),1))="y","yes","no")</f>
        <v>no</v>
      </c>
      <c r="C347" t="s">
        <v>12</v>
      </c>
      <c r="D347" t="s">
        <v>12</v>
      </c>
      <c r="E347">
        <v>5</v>
      </c>
      <c r="F347">
        <v>4</v>
      </c>
      <c r="G347">
        <v>3</v>
      </c>
      <c r="H347">
        <v>2</v>
      </c>
      <c r="I347">
        <v>3</v>
      </c>
      <c r="J347">
        <v>1</v>
      </c>
      <c r="K347">
        <v>7</v>
      </c>
    </row>
    <row r="348" spans="1:11" x14ac:dyDescent="0.35">
      <c r="A348">
        <v>347</v>
      </c>
      <c r="B348" t="str">
        <f ca="1">IF(LOWER(LEFT(TRIM(tbl_Lifestyle[[#This Row],[activities]]),1))="y","yes","no")</f>
        <v>no</v>
      </c>
      <c r="C348" t="s">
        <v>12</v>
      </c>
      <c r="D348" t="s">
        <v>12</v>
      </c>
      <c r="E348">
        <v>5</v>
      </c>
      <c r="F348">
        <v>3</v>
      </c>
      <c r="G348">
        <v>2</v>
      </c>
      <c r="H348">
        <v>1</v>
      </c>
      <c r="I348">
        <v>2</v>
      </c>
      <c r="J348">
        <v>4</v>
      </c>
      <c r="K348">
        <v>9</v>
      </c>
    </row>
    <row r="349" spans="1:11" x14ac:dyDescent="0.35">
      <c r="A349">
        <v>348</v>
      </c>
      <c r="B349" t="str">
        <f ca="1">IF(LOWER(LEFT(TRIM(tbl_Lifestyle[[#This Row],[activities]]),1))="y","yes","no")</f>
        <v>no</v>
      </c>
      <c r="C349" t="s">
        <v>12</v>
      </c>
      <c r="D349" t="s">
        <v>12</v>
      </c>
      <c r="E349">
        <v>5</v>
      </c>
      <c r="F349">
        <v>4</v>
      </c>
      <c r="G349">
        <v>5</v>
      </c>
      <c r="H349">
        <v>2</v>
      </c>
      <c r="I349">
        <v>3</v>
      </c>
      <c r="J349">
        <v>5</v>
      </c>
      <c r="K349">
        <v>0</v>
      </c>
    </row>
    <row r="350" spans="1:11" x14ac:dyDescent="0.35">
      <c r="A350">
        <v>349</v>
      </c>
      <c r="B350" t="str">
        <f ca="1">IF(LOWER(LEFT(TRIM(tbl_Lifestyle[[#This Row],[activities]]),1))="y","yes","no")</f>
        <v>yes</v>
      </c>
      <c r="C350" t="s">
        <v>12</v>
      </c>
      <c r="D350" t="s">
        <v>12</v>
      </c>
      <c r="E350">
        <v>4</v>
      </c>
      <c r="F350">
        <v>4</v>
      </c>
      <c r="G350">
        <v>3</v>
      </c>
      <c r="H350">
        <v>1</v>
      </c>
      <c r="I350">
        <v>3</v>
      </c>
      <c r="J350">
        <v>4</v>
      </c>
      <c r="K350">
        <v>0</v>
      </c>
    </row>
    <row r="351" spans="1:11" x14ac:dyDescent="0.35">
      <c r="A351">
        <v>350</v>
      </c>
      <c r="B351" t="str">
        <f ca="1">IF(LOWER(LEFT(TRIM(tbl_Lifestyle[[#This Row],[activities]]),1))="y","yes","no")</f>
        <v>no</v>
      </c>
      <c r="C351" t="s">
        <v>12</v>
      </c>
      <c r="D351" t="s">
        <v>11</v>
      </c>
      <c r="E351">
        <v>2</v>
      </c>
      <c r="F351">
        <v>5</v>
      </c>
      <c r="G351">
        <v>5</v>
      </c>
      <c r="H351">
        <v>5</v>
      </c>
      <c r="I351">
        <v>5</v>
      </c>
      <c r="J351">
        <v>4</v>
      </c>
      <c r="K351">
        <v>10</v>
      </c>
    </row>
    <row r="352" spans="1:11" x14ac:dyDescent="0.35">
      <c r="A352">
        <v>351</v>
      </c>
      <c r="B352" t="str">
        <f ca="1">IF(LOWER(LEFT(TRIM(tbl_Lifestyle[[#This Row],[activities]]),1))="y","yes","no")</f>
        <v>no</v>
      </c>
      <c r="C352" t="s">
        <v>12</v>
      </c>
      <c r="D352" t="s">
        <v>11</v>
      </c>
      <c r="E352">
        <v>5</v>
      </c>
      <c r="F352">
        <v>4</v>
      </c>
      <c r="G352">
        <v>4</v>
      </c>
      <c r="H352">
        <v>3</v>
      </c>
      <c r="I352">
        <v>3</v>
      </c>
      <c r="J352">
        <v>2</v>
      </c>
      <c r="K352">
        <v>8</v>
      </c>
    </row>
    <row r="353" spans="1:11" x14ac:dyDescent="0.35">
      <c r="A353">
        <v>352</v>
      </c>
      <c r="B353" t="str">
        <f ca="1">IF(LOWER(LEFT(TRIM(tbl_Lifestyle[[#This Row],[activities]]),1))="y","yes","no")</f>
        <v>no</v>
      </c>
      <c r="C353" t="s">
        <v>12</v>
      </c>
      <c r="D353" t="s">
        <v>11</v>
      </c>
      <c r="E353">
        <v>4</v>
      </c>
      <c r="F353">
        <v>5</v>
      </c>
      <c r="G353">
        <v>4</v>
      </c>
      <c r="H353">
        <v>2</v>
      </c>
      <c r="I353">
        <v>3</v>
      </c>
      <c r="J353">
        <v>3</v>
      </c>
      <c r="K353">
        <v>2</v>
      </c>
    </row>
    <row r="354" spans="1:11" x14ac:dyDescent="0.35">
      <c r="A354">
        <v>353</v>
      </c>
      <c r="B354" t="str">
        <f ca="1">IF(LOWER(LEFT(TRIM(tbl_Lifestyle[[#This Row],[activities]]),1))="y","yes","no")</f>
        <v>no</v>
      </c>
      <c r="C354" t="s">
        <v>12</v>
      </c>
      <c r="D354" t="s">
        <v>12</v>
      </c>
      <c r="E354">
        <v>4</v>
      </c>
      <c r="F354">
        <v>3</v>
      </c>
      <c r="G354">
        <v>3</v>
      </c>
      <c r="H354">
        <v>2</v>
      </c>
      <c r="I354">
        <v>3</v>
      </c>
      <c r="J354">
        <v>3</v>
      </c>
      <c r="K354">
        <v>7</v>
      </c>
    </row>
    <row r="355" spans="1:11" x14ac:dyDescent="0.35">
      <c r="A355">
        <v>354</v>
      </c>
      <c r="B355" t="str">
        <f ca="1">IF(LOWER(LEFT(TRIM(tbl_Lifestyle[[#This Row],[activities]]),1))="y","yes","no")</f>
        <v>no</v>
      </c>
      <c r="C355" t="s">
        <v>12</v>
      </c>
      <c r="D355" t="s">
        <v>11</v>
      </c>
      <c r="E355">
        <v>4</v>
      </c>
      <c r="F355">
        <v>4</v>
      </c>
      <c r="G355">
        <v>4</v>
      </c>
      <c r="H355">
        <v>3</v>
      </c>
      <c r="I355">
        <v>3</v>
      </c>
      <c r="J355">
        <v>5</v>
      </c>
      <c r="K355">
        <v>4</v>
      </c>
    </row>
    <row r="356" spans="1:11" x14ac:dyDescent="0.35">
      <c r="A356">
        <v>355</v>
      </c>
      <c r="B356" t="str">
        <f ca="1">IF(LOWER(LEFT(TRIM(tbl_Lifestyle[[#This Row],[activities]]),1))="y","yes","no")</f>
        <v>yes</v>
      </c>
      <c r="C356" t="s">
        <v>12</v>
      </c>
      <c r="D356" t="s">
        <v>12</v>
      </c>
      <c r="E356">
        <v>4</v>
      </c>
      <c r="F356">
        <v>5</v>
      </c>
      <c r="G356">
        <v>5</v>
      </c>
      <c r="H356">
        <v>1</v>
      </c>
      <c r="I356">
        <v>3</v>
      </c>
      <c r="J356">
        <v>2</v>
      </c>
      <c r="K356">
        <v>4</v>
      </c>
    </row>
    <row r="357" spans="1:11" x14ac:dyDescent="0.35">
      <c r="A357">
        <v>356</v>
      </c>
      <c r="B357" t="str">
        <f ca="1">IF(LOWER(LEFT(TRIM(tbl_Lifestyle[[#This Row],[activities]]),1))="y","yes","no")</f>
        <v>no</v>
      </c>
      <c r="C357" t="s">
        <v>11</v>
      </c>
      <c r="D357" t="s">
        <v>12</v>
      </c>
      <c r="E357">
        <v>5</v>
      </c>
      <c r="F357">
        <v>3</v>
      </c>
      <c r="G357">
        <v>4</v>
      </c>
      <c r="H357">
        <v>1</v>
      </c>
      <c r="I357">
        <v>1</v>
      </c>
      <c r="J357">
        <v>5</v>
      </c>
      <c r="K357">
        <v>0</v>
      </c>
    </row>
    <row r="358" spans="1:11" x14ac:dyDescent="0.35">
      <c r="A358">
        <v>357</v>
      </c>
      <c r="B358" t="str">
        <f ca="1">IF(LOWER(LEFT(TRIM(tbl_Lifestyle[[#This Row],[activities]]),1))="y","yes","no")</f>
        <v>yes</v>
      </c>
      <c r="C358" t="s">
        <v>12</v>
      </c>
      <c r="D358" t="s">
        <v>11</v>
      </c>
      <c r="E358">
        <v>4</v>
      </c>
      <c r="F358">
        <v>3</v>
      </c>
      <c r="G358">
        <v>3</v>
      </c>
      <c r="H358">
        <v>1</v>
      </c>
      <c r="I358">
        <v>2</v>
      </c>
      <c r="J358">
        <v>5</v>
      </c>
      <c r="K358">
        <v>4</v>
      </c>
    </row>
    <row r="359" spans="1:11" x14ac:dyDescent="0.35">
      <c r="A359">
        <v>358</v>
      </c>
      <c r="B359" t="str">
        <f ca="1">IF(LOWER(LEFT(TRIM(tbl_Lifestyle[[#This Row],[activities]]),1))="y","yes","no")</f>
        <v>no</v>
      </c>
      <c r="C359" t="s">
        <v>11</v>
      </c>
      <c r="D359" t="s">
        <v>12</v>
      </c>
      <c r="E359">
        <v>1</v>
      </c>
      <c r="F359">
        <v>2</v>
      </c>
      <c r="G359">
        <v>3</v>
      </c>
      <c r="H359">
        <v>1</v>
      </c>
      <c r="I359">
        <v>2</v>
      </c>
      <c r="J359">
        <v>5</v>
      </c>
      <c r="K359">
        <v>2</v>
      </c>
    </row>
    <row r="360" spans="1:11" x14ac:dyDescent="0.35">
      <c r="A360">
        <v>359</v>
      </c>
      <c r="B360" t="str">
        <f ca="1">IF(LOWER(LEFT(TRIM(tbl_Lifestyle[[#This Row],[activities]]),1))="y","yes","no")</f>
        <v>no</v>
      </c>
      <c r="C360" t="s">
        <v>12</v>
      </c>
      <c r="D360" t="s">
        <v>12</v>
      </c>
      <c r="E360">
        <v>3</v>
      </c>
      <c r="F360">
        <v>3</v>
      </c>
      <c r="G360">
        <v>2</v>
      </c>
      <c r="H360">
        <v>1</v>
      </c>
      <c r="I360">
        <v>2</v>
      </c>
      <c r="J360">
        <v>3</v>
      </c>
      <c r="K360">
        <v>4</v>
      </c>
    </row>
    <row r="361" spans="1:11" x14ac:dyDescent="0.35">
      <c r="A361">
        <v>360</v>
      </c>
      <c r="B361" t="str">
        <f ca="1">IF(LOWER(LEFT(TRIM(tbl_Lifestyle[[#This Row],[activities]]),1))="y","yes","no")</f>
        <v>no</v>
      </c>
      <c r="C361" t="s">
        <v>12</v>
      </c>
      <c r="D361" t="s">
        <v>11</v>
      </c>
      <c r="E361">
        <v>5</v>
      </c>
      <c r="F361">
        <v>3</v>
      </c>
      <c r="G361">
        <v>2</v>
      </c>
      <c r="H361">
        <v>1</v>
      </c>
      <c r="I361">
        <v>1</v>
      </c>
      <c r="J361">
        <v>4</v>
      </c>
      <c r="K361">
        <v>0</v>
      </c>
    </row>
    <row r="362" spans="1:11" x14ac:dyDescent="0.35">
      <c r="A362">
        <v>361</v>
      </c>
      <c r="B362" t="str">
        <f ca="1">IF(LOWER(LEFT(TRIM(tbl_Lifestyle[[#This Row],[activities]]),1))="y","yes","no")</f>
        <v>no</v>
      </c>
      <c r="C362" t="s">
        <v>11</v>
      </c>
      <c r="D362" t="s">
        <v>12</v>
      </c>
      <c r="E362">
        <v>4</v>
      </c>
      <c r="F362">
        <v>3</v>
      </c>
      <c r="G362">
        <v>4</v>
      </c>
      <c r="H362">
        <v>1</v>
      </c>
      <c r="I362">
        <v>4</v>
      </c>
      <c r="J362">
        <v>5</v>
      </c>
      <c r="K362">
        <v>0</v>
      </c>
    </row>
    <row r="363" spans="1:11" x14ac:dyDescent="0.35">
      <c r="A363">
        <v>362</v>
      </c>
      <c r="B363" t="str">
        <f ca="1">IF(LOWER(LEFT(TRIM(tbl_Lifestyle[[#This Row],[activities]]),1))="y","yes","no")</f>
        <v>yes</v>
      </c>
      <c r="C363" t="s">
        <v>11</v>
      </c>
      <c r="D363" t="s">
        <v>11</v>
      </c>
      <c r="E363">
        <v>4</v>
      </c>
      <c r="F363">
        <v>4</v>
      </c>
      <c r="G363">
        <v>3</v>
      </c>
      <c r="H363">
        <v>2</v>
      </c>
      <c r="I363">
        <v>3</v>
      </c>
      <c r="J363">
        <v>5</v>
      </c>
      <c r="K363">
        <v>2</v>
      </c>
    </row>
    <row r="364" spans="1:11" x14ac:dyDescent="0.35">
      <c r="A364">
        <v>363</v>
      </c>
      <c r="B364" t="str">
        <f ca="1">IF(LOWER(LEFT(TRIM(tbl_Lifestyle[[#This Row],[activities]]),1))="y","yes","no")</f>
        <v>no</v>
      </c>
      <c r="C364" t="s">
        <v>12</v>
      </c>
      <c r="D364" t="s">
        <v>12</v>
      </c>
      <c r="E364">
        <v>4</v>
      </c>
      <c r="F364">
        <v>3</v>
      </c>
      <c r="G364">
        <v>2</v>
      </c>
      <c r="H364">
        <v>1</v>
      </c>
      <c r="I364">
        <v>3</v>
      </c>
      <c r="J364">
        <v>3</v>
      </c>
      <c r="K364">
        <v>0</v>
      </c>
    </row>
    <row r="365" spans="1:11" x14ac:dyDescent="0.35">
      <c r="A365">
        <v>364</v>
      </c>
      <c r="B365" t="str">
        <f ca="1">IF(LOWER(LEFT(TRIM(tbl_Lifestyle[[#This Row],[activities]]),1))="y","yes","no")</f>
        <v>yes</v>
      </c>
      <c r="C365" t="s">
        <v>12</v>
      </c>
      <c r="D365" t="s">
        <v>12</v>
      </c>
      <c r="E365">
        <v>2</v>
      </c>
      <c r="F365">
        <v>3</v>
      </c>
      <c r="G365">
        <v>4</v>
      </c>
      <c r="H365">
        <v>1</v>
      </c>
      <c r="I365">
        <v>1</v>
      </c>
      <c r="J365">
        <v>1</v>
      </c>
      <c r="K365">
        <v>0</v>
      </c>
    </row>
    <row r="366" spans="1:11" x14ac:dyDescent="0.35">
      <c r="A366">
        <v>365</v>
      </c>
      <c r="B366" t="str">
        <f ca="1">IF(LOWER(LEFT(TRIM(tbl_Lifestyle[[#This Row],[activities]]),1))="y","yes","no")</f>
        <v>no</v>
      </c>
      <c r="C366" t="s">
        <v>11</v>
      </c>
      <c r="D366" t="s">
        <v>11</v>
      </c>
      <c r="E366">
        <v>3</v>
      </c>
      <c r="F366">
        <v>2</v>
      </c>
      <c r="G366">
        <v>2</v>
      </c>
      <c r="H366">
        <v>1</v>
      </c>
      <c r="I366">
        <v>2</v>
      </c>
      <c r="J366">
        <v>3</v>
      </c>
      <c r="K366">
        <v>0</v>
      </c>
    </row>
    <row r="367" spans="1:11" x14ac:dyDescent="0.35">
      <c r="A367">
        <v>366</v>
      </c>
      <c r="B367" t="str">
        <f ca="1">IF(LOWER(LEFT(TRIM(tbl_Lifestyle[[#This Row],[activities]]),1))="y","yes","no")</f>
        <v>no</v>
      </c>
      <c r="C367" t="s">
        <v>11</v>
      </c>
      <c r="D367" t="s">
        <v>11</v>
      </c>
      <c r="E367">
        <v>3</v>
      </c>
      <c r="F367">
        <v>3</v>
      </c>
      <c r="G367">
        <v>4</v>
      </c>
      <c r="H367">
        <v>2</v>
      </c>
      <c r="I367">
        <v>4</v>
      </c>
      <c r="J367">
        <v>3</v>
      </c>
      <c r="K367">
        <v>4</v>
      </c>
    </row>
    <row r="368" spans="1:11" x14ac:dyDescent="0.35">
      <c r="A368">
        <v>367</v>
      </c>
      <c r="B368" t="str">
        <f ca="1">IF(LOWER(LEFT(TRIM(tbl_Lifestyle[[#This Row],[activities]]),1))="y","yes","no")</f>
        <v>no</v>
      </c>
      <c r="C368" t="s">
        <v>12</v>
      </c>
      <c r="D368" t="s">
        <v>12</v>
      </c>
      <c r="E368">
        <v>4</v>
      </c>
      <c r="F368">
        <v>2</v>
      </c>
      <c r="G368">
        <v>2</v>
      </c>
      <c r="H368">
        <v>2</v>
      </c>
      <c r="I368">
        <v>2</v>
      </c>
      <c r="J368">
        <v>5</v>
      </c>
      <c r="K368">
        <v>0</v>
      </c>
    </row>
    <row r="369" spans="1:11" x14ac:dyDescent="0.35">
      <c r="A369">
        <v>368</v>
      </c>
      <c r="B369" t="str">
        <f ca="1">IF(LOWER(LEFT(TRIM(tbl_Lifestyle[[#This Row],[activities]]),1))="y","yes","no")</f>
        <v>no</v>
      </c>
      <c r="C369" t="s">
        <v>12</v>
      </c>
      <c r="D369" t="s">
        <v>12</v>
      </c>
      <c r="E369">
        <v>5</v>
      </c>
      <c r="F369">
        <v>2</v>
      </c>
      <c r="G369">
        <v>1</v>
      </c>
      <c r="H369">
        <v>1</v>
      </c>
      <c r="I369">
        <v>2</v>
      </c>
      <c r="J369">
        <v>1</v>
      </c>
      <c r="K369">
        <v>0</v>
      </c>
    </row>
    <row r="370" spans="1:11" x14ac:dyDescent="0.35">
      <c r="A370">
        <v>369</v>
      </c>
      <c r="B370" t="str">
        <f ca="1">IF(LOWER(LEFT(TRIM(tbl_Lifestyle[[#This Row],[activities]]),1))="y","yes","no")</f>
        <v>no</v>
      </c>
      <c r="C370" t="s">
        <v>12</v>
      </c>
      <c r="D370" t="s">
        <v>12</v>
      </c>
      <c r="E370">
        <v>5</v>
      </c>
      <c r="F370">
        <v>2</v>
      </c>
      <c r="G370">
        <v>3</v>
      </c>
      <c r="H370">
        <v>1</v>
      </c>
      <c r="I370">
        <v>2</v>
      </c>
      <c r="J370">
        <v>4</v>
      </c>
      <c r="K370">
        <v>0</v>
      </c>
    </row>
    <row r="371" spans="1:11" x14ac:dyDescent="0.35">
      <c r="A371">
        <v>370</v>
      </c>
      <c r="B371" t="str">
        <f ca="1">IF(LOWER(LEFT(TRIM(tbl_Lifestyle[[#This Row],[activities]]),1))="y","yes","no")</f>
        <v>no</v>
      </c>
      <c r="C371" t="s">
        <v>12</v>
      </c>
      <c r="D371" t="s">
        <v>12</v>
      </c>
      <c r="E371">
        <v>3</v>
      </c>
      <c r="F371">
        <v>2</v>
      </c>
      <c r="G371">
        <v>2</v>
      </c>
      <c r="H371">
        <v>4</v>
      </c>
      <c r="I371">
        <v>2</v>
      </c>
      <c r="J371">
        <v>4</v>
      </c>
      <c r="K371">
        <v>10</v>
      </c>
    </row>
    <row r="372" spans="1:11" x14ac:dyDescent="0.35">
      <c r="A372">
        <v>371</v>
      </c>
      <c r="B372" t="str">
        <f ca="1">IF(LOWER(LEFT(TRIM(tbl_Lifestyle[[#This Row],[activities]]),1))="y","yes","no")</f>
        <v>yes</v>
      </c>
      <c r="C372" t="s">
        <v>11</v>
      </c>
      <c r="D372" t="s">
        <v>12</v>
      </c>
      <c r="E372">
        <v>3</v>
      </c>
      <c r="F372">
        <v>2</v>
      </c>
      <c r="G372">
        <v>2</v>
      </c>
      <c r="H372">
        <v>1</v>
      </c>
      <c r="I372">
        <v>1</v>
      </c>
      <c r="J372">
        <v>3</v>
      </c>
      <c r="K372">
        <v>4</v>
      </c>
    </row>
    <row r="373" spans="1:11" x14ac:dyDescent="0.35">
      <c r="A373">
        <v>372</v>
      </c>
      <c r="B373" t="str">
        <f ca="1">IF(LOWER(LEFT(TRIM(tbl_Lifestyle[[#This Row],[activities]]),1))="y","yes","no")</f>
        <v>yes</v>
      </c>
      <c r="C373" t="s">
        <v>12</v>
      </c>
      <c r="D373" t="s">
        <v>12</v>
      </c>
      <c r="E373">
        <v>4</v>
      </c>
      <c r="F373">
        <v>3</v>
      </c>
      <c r="G373">
        <v>3</v>
      </c>
      <c r="H373">
        <v>2</v>
      </c>
      <c r="I373">
        <v>3</v>
      </c>
      <c r="J373">
        <v>3</v>
      </c>
      <c r="K373">
        <v>3</v>
      </c>
    </row>
    <row r="374" spans="1:11" x14ac:dyDescent="0.35">
      <c r="A374">
        <v>373</v>
      </c>
      <c r="B374" t="str">
        <f ca="1">IF(LOWER(LEFT(TRIM(tbl_Lifestyle[[#This Row],[activities]]),1))="y","yes","no")</f>
        <v>yes</v>
      </c>
      <c r="C374" t="s">
        <v>11</v>
      </c>
      <c r="D374" t="s">
        <v>12</v>
      </c>
      <c r="E374">
        <v>3</v>
      </c>
      <c r="F374">
        <v>4</v>
      </c>
      <c r="G374">
        <v>3</v>
      </c>
      <c r="H374">
        <v>1</v>
      </c>
      <c r="I374">
        <v>1</v>
      </c>
      <c r="J374">
        <v>3</v>
      </c>
      <c r="K374">
        <v>8</v>
      </c>
    </row>
    <row r="375" spans="1:11" x14ac:dyDescent="0.35">
      <c r="A375">
        <v>374</v>
      </c>
      <c r="B375" t="str">
        <f ca="1">IF(LOWER(LEFT(TRIM(tbl_Lifestyle[[#This Row],[activities]]),1))="y","yes","no")</f>
        <v>yes</v>
      </c>
      <c r="C375" t="s">
        <v>12</v>
      </c>
      <c r="D375" t="s">
        <v>11</v>
      </c>
      <c r="E375">
        <v>3</v>
      </c>
      <c r="F375">
        <v>5</v>
      </c>
      <c r="G375">
        <v>5</v>
      </c>
      <c r="H375">
        <v>1</v>
      </c>
      <c r="I375">
        <v>3</v>
      </c>
      <c r="J375">
        <v>1</v>
      </c>
      <c r="K375">
        <v>14</v>
      </c>
    </row>
    <row r="376" spans="1:11" x14ac:dyDescent="0.35">
      <c r="A376">
        <v>375</v>
      </c>
      <c r="B376" t="str">
        <f ca="1">IF(LOWER(LEFT(TRIM(tbl_Lifestyle[[#This Row],[activities]]),1))="y","yes","no")</f>
        <v>no</v>
      </c>
      <c r="C376" t="s">
        <v>12</v>
      </c>
      <c r="D376" t="s">
        <v>11</v>
      </c>
      <c r="E376">
        <v>5</v>
      </c>
      <c r="F376">
        <v>4</v>
      </c>
      <c r="G376">
        <v>4</v>
      </c>
      <c r="H376">
        <v>1</v>
      </c>
      <c r="I376">
        <v>1</v>
      </c>
      <c r="J376">
        <v>1</v>
      </c>
      <c r="K376">
        <v>0</v>
      </c>
    </row>
    <row r="377" spans="1:11" x14ac:dyDescent="0.35">
      <c r="A377">
        <v>376</v>
      </c>
      <c r="B377" t="str">
        <f ca="1">IF(LOWER(LEFT(TRIM(tbl_Lifestyle[[#This Row],[activities]]),1))="y","yes","no")</f>
        <v>no</v>
      </c>
      <c r="C377" t="s">
        <v>12</v>
      </c>
      <c r="D377" t="s">
        <v>11</v>
      </c>
      <c r="E377">
        <v>4</v>
      </c>
      <c r="F377">
        <v>3</v>
      </c>
      <c r="G377">
        <v>2</v>
      </c>
      <c r="H377">
        <v>1</v>
      </c>
      <c r="I377">
        <v>2</v>
      </c>
      <c r="J377">
        <v>4</v>
      </c>
      <c r="K377">
        <v>2</v>
      </c>
    </row>
    <row r="378" spans="1:11" x14ac:dyDescent="0.35">
      <c r="A378">
        <v>377</v>
      </c>
      <c r="B378" t="str">
        <f ca="1">IF(LOWER(LEFT(TRIM(tbl_Lifestyle[[#This Row],[activities]]),1))="y","yes","no")</f>
        <v>no</v>
      </c>
      <c r="C378" t="s">
        <v>12</v>
      </c>
      <c r="D378" t="s">
        <v>12</v>
      </c>
      <c r="E378">
        <v>5</v>
      </c>
      <c r="F378">
        <v>4</v>
      </c>
      <c r="G378">
        <v>3</v>
      </c>
      <c r="H378">
        <v>1</v>
      </c>
      <c r="I378">
        <v>1</v>
      </c>
      <c r="J378">
        <v>3</v>
      </c>
      <c r="K378">
        <v>4</v>
      </c>
    </row>
    <row r="379" spans="1:11" x14ac:dyDescent="0.35">
      <c r="A379">
        <v>378</v>
      </c>
      <c r="B379" t="str">
        <f ca="1">IF(LOWER(LEFT(TRIM(tbl_Lifestyle[[#This Row],[activities]]),1))="y","yes","no")</f>
        <v>yes</v>
      </c>
      <c r="C379" t="s">
        <v>12</v>
      </c>
      <c r="D379" t="s">
        <v>11</v>
      </c>
      <c r="E379">
        <v>5</v>
      </c>
      <c r="F379">
        <v>4</v>
      </c>
      <c r="G379">
        <v>3</v>
      </c>
      <c r="H379">
        <v>3</v>
      </c>
      <c r="I379">
        <v>4</v>
      </c>
      <c r="J379">
        <v>2</v>
      </c>
      <c r="K379">
        <v>4</v>
      </c>
    </row>
    <row r="380" spans="1:11" x14ac:dyDescent="0.35">
      <c r="A380">
        <v>379</v>
      </c>
      <c r="B380" t="str">
        <f ca="1">IF(LOWER(LEFT(TRIM(tbl_Lifestyle[[#This Row],[activities]]),1))="y","yes","no")</f>
        <v>no</v>
      </c>
      <c r="C380" t="s">
        <v>12</v>
      </c>
      <c r="D380" t="s">
        <v>12</v>
      </c>
      <c r="E380">
        <v>4</v>
      </c>
      <c r="F380">
        <v>1</v>
      </c>
      <c r="G380">
        <v>3</v>
      </c>
      <c r="H380">
        <v>1</v>
      </c>
      <c r="I380">
        <v>2</v>
      </c>
      <c r="J380">
        <v>1</v>
      </c>
      <c r="K380">
        <v>0</v>
      </c>
    </row>
    <row r="381" spans="1:11" x14ac:dyDescent="0.35">
      <c r="A381">
        <v>380</v>
      </c>
      <c r="B381" t="str">
        <f ca="1">IF(LOWER(LEFT(TRIM(tbl_Lifestyle[[#This Row],[activities]]),1))="y","yes","no")</f>
        <v>yes</v>
      </c>
      <c r="C381" t="s">
        <v>12</v>
      </c>
      <c r="D381" t="s">
        <v>11</v>
      </c>
      <c r="E381">
        <v>4</v>
      </c>
      <c r="F381">
        <v>5</v>
      </c>
      <c r="G381">
        <v>4</v>
      </c>
      <c r="H381">
        <v>2</v>
      </c>
      <c r="I381">
        <v>3</v>
      </c>
      <c r="J381">
        <v>1</v>
      </c>
      <c r="K381">
        <v>17</v>
      </c>
    </row>
    <row r="382" spans="1:11" x14ac:dyDescent="0.35">
      <c r="A382">
        <v>381</v>
      </c>
      <c r="B382" t="str">
        <f ca="1">IF(LOWER(LEFT(TRIM(tbl_Lifestyle[[#This Row],[activities]]),1))="y","yes","no")</f>
        <v>yes</v>
      </c>
      <c r="C382" t="s">
        <v>12</v>
      </c>
      <c r="D382" t="s">
        <v>11</v>
      </c>
      <c r="E382">
        <v>3</v>
      </c>
      <c r="F382">
        <v>2</v>
      </c>
      <c r="G382">
        <v>4</v>
      </c>
      <c r="H382">
        <v>1</v>
      </c>
      <c r="I382">
        <v>4</v>
      </c>
      <c r="J382">
        <v>2</v>
      </c>
      <c r="K382">
        <v>4</v>
      </c>
    </row>
    <row r="383" spans="1:11" x14ac:dyDescent="0.35">
      <c r="A383">
        <v>382</v>
      </c>
      <c r="B383" t="str">
        <f ca="1">IF(LOWER(LEFT(TRIM(tbl_Lifestyle[[#This Row],[activities]]),1))="y","yes","no")</f>
        <v>yes</v>
      </c>
      <c r="C383" t="s">
        <v>12</v>
      </c>
      <c r="D383" t="s">
        <v>12</v>
      </c>
      <c r="E383">
        <v>4</v>
      </c>
      <c r="F383">
        <v>4</v>
      </c>
      <c r="G383">
        <v>3</v>
      </c>
      <c r="H383">
        <v>1</v>
      </c>
      <c r="I383">
        <v>3</v>
      </c>
      <c r="J383">
        <v>5</v>
      </c>
      <c r="K383">
        <v>0</v>
      </c>
    </row>
    <row r="384" spans="1:11" x14ac:dyDescent="0.35">
      <c r="A384">
        <v>383</v>
      </c>
      <c r="B384" t="str">
        <f ca="1">IF(LOWER(LEFT(TRIM(tbl_Lifestyle[[#This Row],[activities]]),1))="y","yes","no")</f>
        <v>yes</v>
      </c>
      <c r="C384" t="s">
        <v>12</v>
      </c>
      <c r="D384" t="s">
        <v>11</v>
      </c>
      <c r="E384">
        <v>4</v>
      </c>
      <c r="F384">
        <v>4</v>
      </c>
      <c r="G384">
        <v>3</v>
      </c>
      <c r="H384">
        <v>1</v>
      </c>
      <c r="I384">
        <v>1</v>
      </c>
      <c r="J384">
        <v>3</v>
      </c>
      <c r="K384">
        <v>0</v>
      </c>
    </row>
    <row r="385" spans="1:11" x14ac:dyDescent="0.35">
      <c r="A385">
        <v>384</v>
      </c>
      <c r="B385" t="str">
        <f ca="1">IF(LOWER(LEFT(TRIM(tbl_Lifestyle[[#This Row],[activities]]),1))="y","yes","no")</f>
        <v>no</v>
      </c>
      <c r="C385" t="s">
        <v>11</v>
      </c>
      <c r="D385" t="s">
        <v>11</v>
      </c>
      <c r="E385">
        <v>4</v>
      </c>
      <c r="F385">
        <v>3</v>
      </c>
      <c r="G385">
        <v>2</v>
      </c>
      <c r="H385">
        <v>1</v>
      </c>
      <c r="I385">
        <v>3</v>
      </c>
      <c r="J385">
        <v>5</v>
      </c>
      <c r="K385">
        <v>0</v>
      </c>
    </row>
    <row r="386" spans="1:11" x14ac:dyDescent="0.35">
      <c r="A386">
        <v>385</v>
      </c>
      <c r="B386" t="str">
        <f ca="1">IF(LOWER(LEFT(TRIM(tbl_Lifestyle[[#This Row],[activities]]),1))="y","yes","no")</f>
        <v>no</v>
      </c>
      <c r="C386" t="s">
        <v>11</v>
      </c>
      <c r="D386" t="s">
        <v>11</v>
      </c>
      <c r="E386">
        <v>5</v>
      </c>
      <c r="F386">
        <v>4</v>
      </c>
      <c r="G386">
        <v>3</v>
      </c>
      <c r="H386">
        <v>4</v>
      </c>
      <c r="I386">
        <v>3</v>
      </c>
      <c r="J386">
        <v>3</v>
      </c>
      <c r="K386">
        <v>14</v>
      </c>
    </row>
    <row r="387" spans="1:11" x14ac:dyDescent="0.35">
      <c r="A387">
        <v>386</v>
      </c>
      <c r="B387" t="str">
        <f ca="1">IF(LOWER(LEFT(TRIM(tbl_Lifestyle[[#This Row],[activities]]),1))="y","yes","no")</f>
        <v>no</v>
      </c>
      <c r="C387" t="s">
        <v>11</v>
      </c>
      <c r="D387" t="s">
        <v>11</v>
      </c>
      <c r="E387">
        <v>5</v>
      </c>
      <c r="F387">
        <v>3</v>
      </c>
      <c r="G387">
        <v>3</v>
      </c>
      <c r="H387">
        <v>1</v>
      </c>
      <c r="I387">
        <v>3</v>
      </c>
      <c r="J387">
        <v>4</v>
      </c>
      <c r="K387">
        <v>2</v>
      </c>
    </row>
    <row r="388" spans="1:11" x14ac:dyDescent="0.35">
      <c r="A388">
        <v>387</v>
      </c>
      <c r="B388" t="str">
        <f ca="1">IF(LOWER(LEFT(TRIM(tbl_Lifestyle[[#This Row],[activities]]),1))="y","yes","no")</f>
        <v>yes</v>
      </c>
      <c r="C388" t="s">
        <v>12</v>
      </c>
      <c r="D388" t="s">
        <v>12</v>
      </c>
      <c r="E388">
        <v>4</v>
      </c>
      <c r="F388">
        <v>4</v>
      </c>
      <c r="G388">
        <v>3</v>
      </c>
      <c r="H388">
        <v>2</v>
      </c>
      <c r="I388">
        <v>2</v>
      </c>
      <c r="J388">
        <v>5</v>
      </c>
      <c r="K388">
        <v>7</v>
      </c>
    </row>
    <row r="389" spans="1:11" x14ac:dyDescent="0.35">
      <c r="A389">
        <v>388</v>
      </c>
      <c r="B389" t="str">
        <f ca="1">IF(LOWER(LEFT(TRIM(tbl_Lifestyle[[#This Row],[activities]]),1))="y","yes","no")</f>
        <v>yes</v>
      </c>
      <c r="C389" t="s">
        <v>12</v>
      </c>
      <c r="D389" t="s">
        <v>11</v>
      </c>
      <c r="E389">
        <v>5</v>
      </c>
      <c r="F389">
        <v>4</v>
      </c>
      <c r="G389">
        <v>2</v>
      </c>
      <c r="H389">
        <v>1</v>
      </c>
      <c r="I389">
        <v>2</v>
      </c>
      <c r="J389">
        <v>5</v>
      </c>
      <c r="K389">
        <v>0</v>
      </c>
    </row>
    <row r="390" spans="1:11" x14ac:dyDescent="0.35">
      <c r="A390">
        <v>389</v>
      </c>
      <c r="B390" t="str">
        <f ca="1">IF(LOWER(LEFT(TRIM(tbl_Lifestyle[[#This Row],[activities]]),1))="y","yes","no")</f>
        <v>no</v>
      </c>
      <c r="C390" t="s">
        <v>12</v>
      </c>
      <c r="D390" t="s">
        <v>11</v>
      </c>
      <c r="E390">
        <v>4</v>
      </c>
      <c r="F390">
        <v>3</v>
      </c>
      <c r="G390">
        <v>4</v>
      </c>
      <c r="H390">
        <v>1</v>
      </c>
      <c r="I390">
        <v>1</v>
      </c>
      <c r="J390">
        <v>1</v>
      </c>
      <c r="K390">
        <v>0</v>
      </c>
    </row>
    <row r="391" spans="1:11" x14ac:dyDescent="0.35">
      <c r="A391">
        <v>390</v>
      </c>
      <c r="B391" t="str">
        <f ca="1">IF(LOWER(LEFT(TRIM(tbl_Lifestyle[[#This Row],[activities]]),1))="y","yes","no")</f>
        <v>yes</v>
      </c>
      <c r="C391" t="s">
        <v>11</v>
      </c>
      <c r="D391" t="s">
        <v>11</v>
      </c>
      <c r="E391">
        <v>1</v>
      </c>
      <c r="F391">
        <v>1</v>
      </c>
      <c r="G391">
        <v>1</v>
      </c>
      <c r="H391">
        <v>1</v>
      </c>
      <c r="I391">
        <v>1</v>
      </c>
      <c r="J391">
        <v>5</v>
      </c>
      <c r="K391">
        <v>0</v>
      </c>
    </row>
    <row r="392" spans="1:11" x14ac:dyDescent="0.35">
      <c r="A392">
        <v>391</v>
      </c>
      <c r="B392" t="str">
        <f ca="1">IF(LOWER(LEFT(TRIM(tbl_Lifestyle[[#This Row],[activities]]),1))="y","yes","no")</f>
        <v>no</v>
      </c>
      <c r="C392" t="s">
        <v>11</v>
      </c>
      <c r="D392" t="s">
        <v>11</v>
      </c>
      <c r="E392">
        <v>5</v>
      </c>
      <c r="F392">
        <v>5</v>
      </c>
      <c r="G392">
        <v>4</v>
      </c>
      <c r="H392">
        <v>4</v>
      </c>
      <c r="I392">
        <v>5</v>
      </c>
      <c r="J392">
        <v>4</v>
      </c>
      <c r="K392">
        <v>11</v>
      </c>
    </row>
    <row r="393" spans="1:11" x14ac:dyDescent="0.35">
      <c r="A393">
        <v>392</v>
      </c>
      <c r="B393" t="str">
        <f ca="1">IF(LOWER(LEFT(TRIM(tbl_Lifestyle[[#This Row],[activities]]),1))="y","yes","no")</f>
        <v>no</v>
      </c>
      <c r="C393" t="s">
        <v>12</v>
      </c>
      <c r="D393" t="s">
        <v>11</v>
      </c>
      <c r="E393">
        <v>2</v>
      </c>
      <c r="F393">
        <v>4</v>
      </c>
      <c r="G393">
        <v>5</v>
      </c>
      <c r="H393">
        <v>3</v>
      </c>
      <c r="I393">
        <v>4</v>
      </c>
      <c r="J393">
        <v>2</v>
      </c>
      <c r="K393">
        <v>3</v>
      </c>
    </row>
    <row r="394" spans="1:11" x14ac:dyDescent="0.35">
      <c r="A394">
        <v>393</v>
      </c>
      <c r="B394" t="str">
        <f ca="1">IF(LOWER(LEFT(TRIM(tbl_Lifestyle[[#This Row],[activities]]),1))="y","yes","no")</f>
        <v>no</v>
      </c>
      <c r="C394" t="s">
        <v>11</v>
      </c>
      <c r="D394" t="s">
        <v>11</v>
      </c>
      <c r="E394">
        <v>5</v>
      </c>
      <c r="F394">
        <v>5</v>
      </c>
      <c r="G394">
        <v>3</v>
      </c>
      <c r="H394">
        <v>3</v>
      </c>
      <c r="I394">
        <v>3</v>
      </c>
      <c r="J394">
        <v>3</v>
      </c>
      <c r="K394">
        <v>3</v>
      </c>
    </row>
    <row r="395" spans="1:11" x14ac:dyDescent="0.35">
      <c r="A395">
        <v>394</v>
      </c>
      <c r="B395" t="str">
        <f ca="1">IF(LOWER(LEFT(TRIM(tbl_Lifestyle[[#This Row],[activities]]),1))="y","yes","no")</f>
        <v>no</v>
      </c>
      <c r="C395" t="s">
        <v>12</v>
      </c>
      <c r="D395" t="s">
        <v>11</v>
      </c>
      <c r="E395">
        <v>4</v>
      </c>
      <c r="F395">
        <v>4</v>
      </c>
      <c r="G395">
        <v>1</v>
      </c>
      <c r="H395">
        <v>3</v>
      </c>
      <c r="I395">
        <v>4</v>
      </c>
      <c r="J395">
        <v>5</v>
      </c>
      <c r="K395">
        <v>0</v>
      </c>
    </row>
    <row r="396" spans="1:11" x14ac:dyDescent="0.35">
      <c r="A396">
        <v>395</v>
      </c>
      <c r="B396" t="str">
        <f ca="1">IF(LOWER(LEFT(TRIM(tbl_Lifestyle[[#This Row],[activities]]),1))="y","yes","no")</f>
        <v>no</v>
      </c>
      <c r="C396" t="s">
        <v>12</v>
      </c>
      <c r="D396" t="s">
        <v>11</v>
      </c>
      <c r="E396">
        <v>3</v>
      </c>
      <c r="F396">
        <v>2</v>
      </c>
      <c r="G396">
        <v>3</v>
      </c>
      <c r="H396">
        <v>3</v>
      </c>
      <c r="I396">
        <v>3</v>
      </c>
      <c r="J396">
        <v>5</v>
      </c>
      <c r="K396">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EBAC0-6F33-41BC-A81A-878DF0A27CCE}">
  <dimension ref="A1:E396"/>
  <sheetViews>
    <sheetView workbookViewId="0">
      <selection activeCell="F3" sqref="F3"/>
    </sheetView>
  </sheetViews>
  <sheetFormatPr defaultRowHeight="14.5" x14ac:dyDescent="0.35"/>
  <cols>
    <col min="1" max="1" width="11.7265625" bestFit="1" customWidth="1"/>
    <col min="2" max="3" width="24.6328125" bestFit="1" customWidth="1"/>
    <col min="4" max="4" width="12.54296875" bestFit="1" customWidth="1"/>
    <col min="5" max="5" width="11.36328125" bestFit="1" customWidth="1"/>
  </cols>
  <sheetData>
    <row r="1" spans="1:5" x14ac:dyDescent="0.35">
      <c r="A1" t="s">
        <v>0</v>
      </c>
      <c r="B1" t="s">
        <v>58</v>
      </c>
      <c r="C1" t="s">
        <v>59</v>
      </c>
      <c r="D1" t="s">
        <v>60</v>
      </c>
      <c r="E1" t="s">
        <v>61</v>
      </c>
    </row>
    <row r="2" spans="1:5" x14ac:dyDescent="0.35">
      <c r="A2">
        <v>1</v>
      </c>
      <c r="B2" t="s">
        <v>62</v>
      </c>
      <c r="C2" t="s">
        <v>62</v>
      </c>
      <c r="D2" t="s">
        <v>63</v>
      </c>
      <c r="E2" t="str">
        <f ca="1">TRIM(tbl_FamilyBackground[[#This Row],[father_job]])</f>
        <v>teacher</v>
      </c>
    </row>
    <row r="3" spans="1:5" x14ac:dyDescent="0.35">
      <c r="A3">
        <v>2</v>
      </c>
      <c r="B3" t="s">
        <v>65</v>
      </c>
      <c r="C3" t="s">
        <v>65</v>
      </c>
      <c r="D3" t="s">
        <v>63</v>
      </c>
      <c r="E3" t="str">
        <f ca="1">TRIM(tbl_FamilyBackground[[#This Row],[father_job]])</f>
        <v>other</v>
      </c>
    </row>
    <row r="4" spans="1:5" x14ac:dyDescent="0.35">
      <c r="A4">
        <v>3</v>
      </c>
      <c r="B4" t="s">
        <v>65</v>
      </c>
      <c r="C4" t="s">
        <v>65</v>
      </c>
      <c r="D4" t="s">
        <v>63</v>
      </c>
      <c r="E4" t="str">
        <f ca="1">TRIM(tbl_FamilyBackground[[#This Row],[father_job]])</f>
        <v>other</v>
      </c>
    </row>
    <row r="5" spans="1:5" x14ac:dyDescent="0.35">
      <c r="A5">
        <v>4</v>
      </c>
      <c r="B5" t="s">
        <v>62</v>
      </c>
      <c r="C5" t="s">
        <v>66</v>
      </c>
      <c r="D5" t="s">
        <v>9</v>
      </c>
      <c r="E5" t="str">
        <f ca="1">TRIM(tbl_FamilyBackground[[#This Row],[father_job]])</f>
        <v>services</v>
      </c>
    </row>
    <row r="6" spans="1:5" x14ac:dyDescent="0.35">
      <c r="A6">
        <v>5</v>
      </c>
      <c r="B6" t="s">
        <v>68</v>
      </c>
      <c r="C6" t="s">
        <v>68</v>
      </c>
      <c r="D6" t="s">
        <v>27</v>
      </c>
      <c r="E6" t="str">
        <f ca="1">TRIM(tbl_FamilyBackground[[#This Row],[father_job]])</f>
        <v>other</v>
      </c>
    </row>
    <row r="7" spans="1:5" x14ac:dyDescent="0.35">
      <c r="A7">
        <v>6</v>
      </c>
      <c r="B7" t="s">
        <v>62</v>
      </c>
      <c r="C7" t="s">
        <v>68</v>
      </c>
      <c r="D7" t="s">
        <v>67</v>
      </c>
      <c r="E7" t="str">
        <f ca="1">TRIM(tbl_FamilyBackground[[#This Row],[father_job]])</f>
        <v>other</v>
      </c>
    </row>
    <row r="8" spans="1:5" x14ac:dyDescent="0.35">
      <c r="A8">
        <v>7</v>
      </c>
      <c r="B8" t="s">
        <v>66</v>
      </c>
      <c r="C8" t="s">
        <v>66</v>
      </c>
      <c r="D8" t="s">
        <v>27</v>
      </c>
      <c r="E8" t="str">
        <f ca="1">TRIM(tbl_FamilyBackground[[#This Row],[father_job]])</f>
        <v>other</v>
      </c>
    </row>
    <row r="9" spans="1:5" x14ac:dyDescent="0.35">
      <c r="A9">
        <v>8</v>
      </c>
      <c r="B9" t="s">
        <v>62</v>
      </c>
      <c r="C9" t="s">
        <v>62</v>
      </c>
      <c r="D9" t="s">
        <v>27</v>
      </c>
      <c r="E9" t="str">
        <f ca="1">TRIM(tbl_FamilyBackground[[#This Row],[father_job]])</f>
        <v>teacher</v>
      </c>
    </row>
    <row r="10" spans="1:5" x14ac:dyDescent="0.35">
      <c r="A10">
        <v>9</v>
      </c>
      <c r="B10" t="s">
        <v>68</v>
      </c>
      <c r="C10" t="s">
        <v>66</v>
      </c>
      <c r="D10" t="s">
        <v>67</v>
      </c>
      <c r="E10" t="str">
        <f ca="1">TRIM(tbl_FamilyBackground[[#This Row],[father_job]])</f>
        <v>other</v>
      </c>
    </row>
    <row r="11" spans="1:5" x14ac:dyDescent="0.35">
      <c r="A11">
        <v>10</v>
      </c>
      <c r="B11" t="s">
        <v>68</v>
      </c>
      <c r="C11" t="s">
        <v>62</v>
      </c>
      <c r="D11" t="s">
        <v>27</v>
      </c>
      <c r="E11" t="str">
        <f ca="1">TRIM(tbl_FamilyBackground[[#This Row],[father_job]])</f>
        <v>other</v>
      </c>
    </row>
    <row r="12" spans="1:5" x14ac:dyDescent="0.35">
      <c r="A12">
        <v>11</v>
      </c>
      <c r="B12" t="s">
        <v>62</v>
      </c>
      <c r="C12" t="s">
        <v>62</v>
      </c>
      <c r="D12" t="s">
        <v>64</v>
      </c>
      <c r="E12" t="str">
        <f ca="1">TRIM(tbl_FamilyBackground[[#This Row],[father_job]])</f>
        <v>health</v>
      </c>
    </row>
    <row r="13" spans="1:5" x14ac:dyDescent="0.35">
      <c r="A13">
        <v>12</v>
      </c>
      <c r="B13" t="s">
        <v>66</v>
      </c>
      <c r="C13" t="s">
        <v>65</v>
      </c>
      <c r="D13" t="s">
        <v>67</v>
      </c>
      <c r="E13" t="str">
        <f ca="1">TRIM(tbl_FamilyBackground[[#This Row],[father_job]])</f>
        <v>other</v>
      </c>
    </row>
    <row r="14" spans="1:5" x14ac:dyDescent="0.35">
      <c r="A14">
        <v>13</v>
      </c>
      <c r="B14" t="s">
        <v>62</v>
      </c>
      <c r="C14" t="s">
        <v>62</v>
      </c>
      <c r="D14" t="s">
        <v>9</v>
      </c>
      <c r="E14" t="str">
        <f ca="1">TRIM(tbl_FamilyBackground[[#This Row],[father_job]])</f>
        <v>services</v>
      </c>
    </row>
    <row r="15" spans="1:5" x14ac:dyDescent="0.35">
      <c r="A15">
        <v>14</v>
      </c>
      <c r="B15" t="s">
        <v>62</v>
      </c>
      <c r="C15" t="s">
        <v>68</v>
      </c>
      <c r="D15" t="s">
        <v>64</v>
      </c>
      <c r="E15" t="str">
        <f ca="1">TRIM(tbl_FamilyBackground[[#This Row],[father_job]])</f>
        <v>other</v>
      </c>
    </row>
    <row r="16" spans="1:5" x14ac:dyDescent="0.35">
      <c r="A16">
        <v>15</v>
      </c>
      <c r="B16" t="s">
        <v>66</v>
      </c>
      <c r="C16" t="s">
        <v>66</v>
      </c>
      <c r="D16" t="s">
        <v>27</v>
      </c>
      <c r="E16" t="str">
        <f ca="1">TRIM(tbl_FamilyBackground[[#This Row],[father_job]])</f>
        <v>other</v>
      </c>
    </row>
    <row r="17" spans="1:5" x14ac:dyDescent="0.35">
      <c r="A17">
        <v>16</v>
      </c>
      <c r="B17" t="s">
        <v>62</v>
      </c>
      <c r="C17" t="s">
        <v>62</v>
      </c>
      <c r="D17" t="s">
        <v>9</v>
      </c>
      <c r="E17" t="str">
        <f ca="1">TRIM(tbl_FamilyBackground[[#This Row],[father_job]])</f>
        <v>other</v>
      </c>
    </row>
    <row r="18" spans="1:5" x14ac:dyDescent="0.35">
      <c r="A18">
        <v>17</v>
      </c>
      <c r="B18" t="s">
        <v>62</v>
      </c>
      <c r="C18" t="s">
        <v>62</v>
      </c>
      <c r="D18" t="s">
        <v>67</v>
      </c>
      <c r="E18" t="str">
        <f ca="1">TRIM(tbl_FamilyBackground[[#This Row],[father_job]])</f>
        <v>services</v>
      </c>
    </row>
    <row r="19" spans="1:5" x14ac:dyDescent="0.35">
      <c r="A19">
        <v>18</v>
      </c>
      <c r="B19" t="s">
        <v>68</v>
      </c>
      <c r="C19" t="s">
        <v>68</v>
      </c>
      <c r="D19" t="s">
        <v>27</v>
      </c>
      <c r="E19" t="str">
        <f ca="1">TRIM(tbl_FamilyBackground[[#This Row],[father_job]])</f>
        <v>other</v>
      </c>
    </row>
    <row r="20" spans="1:5" x14ac:dyDescent="0.35">
      <c r="A20">
        <v>19</v>
      </c>
      <c r="B20" t="s">
        <v>68</v>
      </c>
      <c r="C20" t="s">
        <v>66</v>
      </c>
      <c r="D20" t="s">
        <v>67</v>
      </c>
      <c r="E20" t="str">
        <f ca="1">TRIM(tbl_FamilyBackground[[#This Row],[father_job]])</f>
        <v>services</v>
      </c>
    </row>
    <row r="21" spans="1:5" x14ac:dyDescent="0.35">
      <c r="A21">
        <v>20</v>
      </c>
      <c r="B21" t="s">
        <v>62</v>
      </c>
      <c r="C21" t="s">
        <v>68</v>
      </c>
      <c r="D21" t="s">
        <v>9</v>
      </c>
      <c r="E21" t="str">
        <f ca="1">TRIM(tbl_FamilyBackground[[#This Row],[father_job]])</f>
        <v>other</v>
      </c>
    </row>
    <row r="22" spans="1:5" x14ac:dyDescent="0.35">
      <c r="A22">
        <v>21</v>
      </c>
      <c r="B22" t="s">
        <v>62</v>
      </c>
      <c r="C22" t="s">
        <v>68</v>
      </c>
      <c r="D22" t="s">
        <v>64</v>
      </c>
      <c r="E22" t="str">
        <f ca="1">TRIM(tbl_FamilyBackground[[#This Row],[father_job]])</f>
        <v>other</v>
      </c>
    </row>
    <row r="23" spans="1:5" x14ac:dyDescent="0.35">
      <c r="A23">
        <v>22</v>
      </c>
      <c r="B23" t="s">
        <v>62</v>
      </c>
      <c r="C23" t="s">
        <v>62</v>
      </c>
      <c r="D23" t="s">
        <v>9</v>
      </c>
      <c r="E23" t="str">
        <f ca="1">TRIM(tbl_FamilyBackground[[#This Row],[father_job]])</f>
        <v>health</v>
      </c>
    </row>
    <row r="24" spans="1:5" x14ac:dyDescent="0.35">
      <c r="A24">
        <v>23</v>
      </c>
      <c r="B24" t="s">
        <v>62</v>
      </c>
      <c r="C24" t="s">
        <v>66</v>
      </c>
      <c r="D24" t="s">
        <v>64</v>
      </c>
      <c r="E24" t="str">
        <f ca="1">TRIM(tbl_FamilyBackground[[#This Row],[father_job]])</f>
        <v>other</v>
      </c>
    </row>
    <row r="25" spans="1:5" x14ac:dyDescent="0.35">
      <c r="A25">
        <v>24</v>
      </c>
      <c r="B25" t="s">
        <v>66</v>
      </c>
      <c r="C25" t="s">
        <v>66</v>
      </c>
      <c r="D25" t="s">
        <v>27</v>
      </c>
      <c r="E25" t="str">
        <f ca="1">TRIM(tbl_FamilyBackground[[#This Row],[father_job]])</f>
        <v>other</v>
      </c>
    </row>
    <row r="26" spans="1:5" x14ac:dyDescent="0.35">
      <c r="A26">
        <v>25</v>
      </c>
      <c r="B26" t="s">
        <v>66</v>
      </c>
      <c r="C26" t="s">
        <v>62</v>
      </c>
      <c r="D26" t="s">
        <v>67</v>
      </c>
      <c r="E26" t="str">
        <f ca="1">TRIM(tbl_FamilyBackground[[#This Row],[father_job]])</f>
        <v>health</v>
      </c>
    </row>
    <row r="27" spans="1:5" x14ac:dyDescent="0.35">
      <c r="A27">
        <v>26</v>
      </c>
      <c r="B27" t="s">
        <v>66</v>
      </c>
      <c r="C27" t="s">
        <v>66</v>
      </c>
      <c r="D27" t="s">
        <v>67</v>
      </c>
      <c r="E27" t="str">
        <f ca="1">TRIM(tbl_FamilyBackground[[#This Row],[father_job]])</f>
        <v>services</v>
      </c>
    </row>
    <row r="28" spans="1:5" x14ac:dyDescent="0.35">
      <c r="A28">
        <v>27</v>
      </c>
      <c r="B28" t="s">
        <v>66</v>
      </c>
      <c r="C28" t="s">
        <v>66</v>
      </c>
      <c r="D28" t="s">
        <v>27</v>
      </c>
      <c r="E28" t="str">
        <f ca="1">TRIM(tbl_FamilyBackground[[#This Row],[father_job]])</f>
        <v>other</v>
      </c>
    </row>
    <row r="29" spans="1:5" x14ac:dyDescent="0.35">
      <c r="A29">
        <v>28</v>
      </c>
      <c r="B29" t="s">
        <v>62</v>
      </c>
      <c r="C29" t="s">
        <v>66</v>
      </c>
      <c r="D29" t="s">
        <v>9</v>
      </c>
      <c r="E29" t="str">
        <f ca="1">TRIM(tbl_FamilyBackground[[#This Row],[father_job]])</f>
        <v>services</v>
      </c>
    </row>
    <row r="30" spans="1:5" x14ac:dyDescent="0.35">
      <c r="A30">
        <v>29</v>
      </c>
      <c r="B30" t="s">
        <v>68</v>
      </c>
      <c r="C30" t="s">
        <v>62</v>
      </c>
      <c r="D30" t="s">
        <v>67</v>
      </c>
      <c r="E30" t="str">
        <f ca="1">TRIM(tbl_FamilyBackground[[#This Row],[father_job]])</f>
        <v>other</v>
      </c>
    </row>
    <row r="31" spans="1:5" x14ac:dyDescent="0.35">
      <c r="A31">
        <v>30</v>
      </c>
      <c r="B31" t="s">
        <v>62</v>
      </c>
      <c r="C31" t="s">
        <v>62</v>
      </c>
      <c r="D31" t="s">
        <v>64</v>
      </c>
      <c r="E31" t="str">
        <f ca="1">TRIM(tbl_FamilyBackground[[#This Row],[father_job]])</f>
        <v>teacher</v>
      </c>
    </row>
    <row r="32" spans="1:5" x14ac:dyDescent="0.35">
      <c r="A32">
        <v>31</v>
      </c>
      <c r="B32" t="s">
        <v>62</v>
      </c>
      <c r="C32" t="s">
        <v>62</v>
      </c>
      <c r="D32" t="s">
        <v>9</v>
      </c>
      <c r="E32" t="str">
        <f ca="1">TRIM(tbl_FamilyBackground[[#This Row],[father_job]])</f>
        <v>services</v>
      </c>
    </row>
    <row r="33" spans="1:5" x14ac:dyDescent="0.35">
      <c r="A33">
        <v>32</v>
      </c>
      <c r="B33" t="s">
        <v>62</v>
      </c>
      <c r="C33" t="s">
        <v>62</v>
      </c>
      <c r="D33" t="s">
        <v>67</v>
      </c>
      <c r="E33" t="str">
        <f ca="1">TRIM(tbl_FamilyBackground[[#This Row],[father_job]])</f>
        <v>services</v>
      </c>
    </row>
    <row r="34" spans="1:5" x14ac:dyDescent="0.35">
      <c r="A34">
        <v>33</v>
      </c>
      <c r="B34" t="s">
        <v>62</v>
      </c>
      <c r="C34" t="s">
        <v>68</v>
      </c>
      <c r="D34" t="s">
        <v>64</v>
      </c>
      <c r="E34" t="str">
        <f ca="1">TRIM(tbl_FamilyBackground[[#This Row],[father_job]])</f>
        <v>at_home</v>
      </c>
    </row>
    <row r="35" spans="1:5" x14ac:dyDescent="0.35">
      <c r="A35">
        <v>34</v>
      </c>
      <c r="B35" t="s">
        <v>68</v>
      </c>
      <c r="C35" t="s">
        <v>68</v>
      </c>
      <c r="D35" t="s">
        <v>27</v>
      </c>
      <c r="E35" t="str">
        <f ca="1">TRIM(tbl_FamilyBackground[[#This Row],[father_job]])</f>
        <v>other</v>
      </c>
    </row>
    <row r="36" spans="1:5" x14ac:dyDescent="0.35">
      <c r="A36">
        <v>35</v>
      </c>
      <c r="B36" t="s">
        <v>68</v>
      </c>
      <c r="C36" t="s">
        <v>66</v>
      </c>
      <c r="D36" t="s">
        <v>27</v>
      </c>
      <c r="E36" t="str">
        <f ca="1">TRIM(tbl_FamilyBackground[[#This Row],[father_job]])</f>
        <v>other</v>
      </c>
    </row>
    <row r="37" spans="1:5" x14ac:dyDescent="0.35">
      <c r="A37">
        <v>36</v>
      </c>
      <c r="B37" t="s">
        <v>66</v>
      </c>
      <c r="C37" t="s">
        <v>68</v>
      </c>
      <c r="D37" t="s">
        <v>27</v>
      </c>
      <c r="E37" t="str">
        <f ca="1">TRIM(tbl_FamilyBackground[[#This Row],[father_job]])</f>
        <v>other</v>
      </c>
    </row>
    <row r="38" spans="1:5" x14ac:dyDescent="0.35">
      <c r="A38">
        <v>37</v>
      </c>
      <c r="B38" t="s">
        <v>62</v>
      </c>
      <c r="C38" t="s">
        <v>68</v>
      </c>
      <c r="D38" t="s">
        <v>64</v>
      </c>
      <c r="E38" t="str">
        <f ca="1">TRIM(tbl_FamilyBackground[[#This Row],[father_job]])</f>
        <v>services</v>
      </c>
    </row>
    <row r="39" spans="1:5" x14ac:dyDescent="0.35">
      <c r="A39">
        <v>38</v>
      </c>
      <c r="B39" t="s">
        <v>62</v>
      </c>
      <c r="C39" t="s">
        <v>62</v>
      </c>
      <c r="D39" t="s">
        <v>27</v>
      </c>
      <c r="E39" t="str">
        <f ca="1">TRIM(tbl_FamilyBackground[[#This Row],[father_job]])</f>
        <v>teacher</v>
      </c>
    </row>
    <row r="40" spans="1:5" x14ac:dyDescent="0.35">
      <c r="A40">
        <v>39</v>
      </c>
      <c r="B40" t="s">
        <v>68</v>
      </c>
      <c r="C40" t="s">
        <v>62</v>
      </c>
      <c r="D40" t="s">
        <v>67</v>
      </c>
      <c r="E40" t="str">
        <f ca="1">TRIM(tbl_FamilyBackground[[#This Row],[father_job]])</f>
        <v>health</v>
      </c>
    </row>
    <row r="41" spans="1:5" x14ac:dyDescent="0.35">
      <c r="A41">
        <v>40</v>
      </c>
      <c r="B41" t="s">
        <v>66</v>
      </c>
      <c r="C41" t="s">
        <v>66</v>
      </c>
      <c r="D41" t="s">
        <v>63</v>
      </c>
      <c r="E41" t="str">
        <f ca="1">TRIM(tbl_FamilyBackground[[#This Row],[father_job]])</f>
        <v>other</v>
      </c>
    </row>
    <row r="42" spans="1:5" x14ac:dyDescent="0.35">
      <c r="A42">
        <v>41</v>
      </c>
      <c r="B42" t="s">
        <v>66</v>
      </c>
      <c r="C42" t="s">
        <v>66</v>
      </c>
      <c r="D42" t="s">
        <v>27</v>
      </c>
      <c r="E42" t="str">
        <f ca="1">TRIM(tbl_FamilyBackground[[#This Row],[father_job]])</f>
        <v>other</v>
      </c>
    </row>
    <row r="43" spans="1:5" x14ac:dyDescent="0.35">
      <c r="A43">
        <v>42</v>
      </c>
      <c r="B43" t="s">
        <v>62</v>
      </c>
      <c r="C43" t="s">
        <v>62</v>
      </c>
      <c r="D43" t="s">
        <v>64</v>
      </c>
      <c r="E43" t="str">
        <f ca="1">TRIM(tbl_FamilyBackground[[#This Row],[father_job]])</f>
        <v>other</v>
      </c>
    </row>
    <row r="44" spans="1:5" x14ac:dyDescent="0.35">
      <c r="A44">
        <v>43</v>
      </c>
      <c r="B44" t="s">
        <v>62</v>
      </c>
      <c r="C44" t="s">
        <v>62</v>
      </c>
      <c r="D44" t="s">
        <v>67</v>
      </c>
      <c r="E44" t="str">
        <f ca="1">TRIM(tbl_FamilyBackground[[#This Row],[father_job]])</f>
        <v>teacher</v>
      </c>
    </row>
    <row r="45" spans="1:5" x14ac:dyDescent="0.35">
      <c r="A45">
        <v>44</v>
      </c>
      <c r="B45" t="s">
        <v>66</v>
      </c>
      <c r="C45" t="s">
        <v>66</v>
      </c>
      <c r="D45" t="s">
        <v>67</v>
      </c>
      <c r="E45" t="str">
        <f ca="1">TRIM(tbl_FamilyBackground[[#This Row],[father_job]])</f>
        <v>services</v>
      </c>
    </row>
    <row r="46" spans="1:5" x14ac:dyDescent="0.35">
      <c r="A46">
        <v>45</v>
      </c>
      <c r="B46" t="s">
        <v>66</v>
      </c>
      <c r="C46" t="s">
        <v>66</v>
      </c>
      <c r="D46" t="s">
        <v>27</v>
      </c>
      <c r="E46" t="str">
        <f ca="1">TRIM(tbl_FamilyBackground[[#This Row],[father_job]])</f>
        <v>at_home</v>
      </c>
    </row>
    <row r="47" spans="1:5" x14ac:dyDescent="0.35">
      <c r="A47">
        <v>46</v>
      </c>
      <c r="B47" t="s">
        <v>62</v>
      </c>
      <c r="C47" t="s">
        <v>68</v>
      </c>
      <c r="D47" t="s">
        <v>27</v>
      </c>
      <c r="E47" t="str">
        <f ca="1">TRIM(tbl_FamilyBackground[[#This Row],[father_job]])</f>
        <v>other</v>
      </c>
    </row>
    <row r="48" spans="1:5" x14ac:dyDescent="0.35">
      <c r="A48">
        <v>47</v>
      </c>
      <c r="B48" t="s">
        <v>68</v>
      </c>
      <c r="C48" t="s">
        <v>68</v>
      </c>
      <c r="D48" t="s">
        <v>27</v>
      </c>
      <c r="E48" t="str">
        <f ca="1">TRIM(tbl_FamilyBackground[[#This Row],[father_job]])</f>
        <v>services</v>
      </c>
    </row>
    <row r="49" spans="1:5" x14ac:dyDescent="0.35">
      <c r="A49">
        <v>48</v>
      </c>
      <c r="B49" t="s">
        <v>62</v>
      </c>
      <c r="C49" t="s">
        <v>68</v>
      </c>
      <c r="D49" t="s">
        <v>9</v>
      </c>
      <c r="E49" t="str">
        <f ca="1">TRIM(tbl_FamilyBackground[[#This Row],[father_job]])</f>
        <v>services</v>
      </c>
    </row>
    <row r="50" spans="1:5" x14ac:dyDescent="0.35">
      <c r="A50">
        <v>49</v>
      </c>
      <c r="B50" t="s">
        <v>62</v>
      </c>
      <c r="C50" t="s">
        <v>66</v>
      </c>
      <c r="D50" t="s">
        <v>64</v>
      </c>
      <c r="E50" t="str">
        <f ca="1">TRIM(tbl_FamilyBackground[[#This Row],[father_job]])</f>
        <v>other</v>
      </c>
    </row>
    <row r="51" spans="1:5" x14ac:dyDescent="0.35">
      <c r="A51">
        <v>50</v>
      </c>
      <c r="B51" t="s">
        <v>62</v>
      </c>
      <c r="C51" t="s">
        <v>62</v>
      </c>
      <c r="D51" t="s">
        <v>67</v>
      </c>
      <c r="E51" t="str">
        <f ca="1">TRIM(tbl_FamilyBackground[[#This Row],[father_job]])</f>
        <v>teacher</v>
      </c>
    </row>
    <row r="52" spans="1:5" x14ac:dyDescent="0.35">
      <c r="A52">
        <v>51</v>
      </c>
      <c r="B52" t="s">
        <v>66</v>
      </c>
      <c r="C52" t="s">
        <v>66</v>
      </c>
      <c r="D52" t="s">
        <v>67</v>
      </c>
      <c r="E52" t="str">
        <f ca="1">TRIM(tbl_FamilyBackground[[#This Row],[father_job]])</f>
        <v>services</v>
      </c>
    </row>
    <row r="53" spans="1:5" x14ac:dyDescent="0.35">
      <c r="A53">
        <v>52</v>
      </c>
      <c r="B53" t="s">
        <v>62</v>
      </c>
      <c r="C53" t="s">
        <v>66</v>
      </c>
      <c r="D53" t="s">
        <v>9</v>
      </c>
      <c r="E53" t="str">
        <f ca="1">TRIM(tbl_FamilyBackground[[#This Row],[father_job]])</f>
        <v>other</v>
      </c>
    </row>
    <row r="54" spans="1:5" x14ac:dyDescent="0.35">
      <c r="A54">
        <v>53</v>
      </c>
      <c r="B54" t="s">
        <v>62</v>
      </c>
      <c r="C54" t="s">
        <v>66</v>
      </c>
      <c r="D54" t="s">
        <v>9</v>
      </c>
      <c r="E54" t="str">
        <f ca="1">TRIM(tbl_FamilyBackground[[#This Row],[father_job]])</f>
        <v>health</v>
      </c>
    </row>
    <row r="55" spans="1:5" x14ac:dyDescent="0.35">
      <c r="A55">
        <v>54</v>
      </c>
      <c r="B55" t="s">
        <v>62</v>
      </c>
      <c r="C55" t="s">
        <v>62</v>
      </c>
      <c r="D55" t="s">
        <v>67</v>
      </c>
      <c r="E55" t="str">
        <f ca="1">TRIM(tbl_FamilyBackground[[#This Row],[father_job]])</f>
        <v>services</v>
      </c>
    </row>
    <row r="56" spans="1:5" x14ac:dyDescent="0.35">
      <c r="A56">
        <v>55</v>
      </c>
      <c r="B56" t="s">
        <v>68</v>
      </c>
      <c r="C56" t="s">
        <v>68</v>
      </c>
      <c r="D56" t="s">
        <v>27</v>
      </c>
      <c r="E56" t="str">
        <f ca="1">TRIM(tbl_FamilyBackground[[#This Row],[father_job]])</f>
        <v>other</v>
      </c>
    </row>
    <row r="57" spans="1:5" x14ac:dyDescent="0.35">
      <c r="A57">
        <v>56</v>
      </c>
      <c r="B57" t="s">
        <v>66</v>
      </c>
      <c r="C57" t="s">
        <v>65</v>
      </c>
      <c r="D57" t="s">
        <v>27</v>
      </c>
      <c r="E57" t="str">
        <f ca="1">TRIM(tbl_FamilyBackground[[#This Row],[father_job]])</f>
        <v>other</v>
      </c>
    </row>
    <row r="58" spans="1:5" x14ac:dyDescent="0.35">
      <c r="A58">
        <v>57</v>
      </c>
      <c r="B58" t="s">
        <v>62</v>
      </c>
      <c r="C58" t="s">
        <v>68</v>
      </c>
      <c r="D58" t="s">
        <v>67</v>
      </c>
      <c r="E58" t="str">
        <f ca="1">TRIM(tbl_FamilyBackground[[#This Row],[father_job]])</f>
        <v>services</v>
      </c>
    </row>
    <row r="59" spans="1:5" x14ac:dyDescent="0.35">
      <c r="A59">
        <v>58</v>
      </c>
      <c r="B59" t="s">
        <v>62</v>
      </c>
      <c r="C59" t="s">
        <v>62</v>
      </c>
      <c r="D59" t="s">
        <v>64</v>
      </c>
      <c r="E59" t="str">
        <f ca="1">TRIM(tbl_FamilyBackground[[#This Row],[father_job]])</f>
        <v>health</v>
      </c>
    </row>
    <row r="60" spans="1:5" x14ac:dyDescent="0.35">
      <c r="A60">
        <v>59</v>
      </c>
      <c r="B60" t="s">
        <v>65</v>
      </c>
      <c r="C60" t="s">
        <v>66</v>
      </c>
      <c r="D60" t="s">
        <v>27</v>
      </c>
      <c r="E60" t="str">
        <f ca="1">TRIM(tbl_FamilyBackground[[#This Row],[father_job]])</f>
        <v>at_home</v>
      </c>
    </row>
    <row r="61" spans="1:5" x14ac:dyDescent="0.35">
      <c r="A61">
        <v>60</v>
      </c>
      <c r="B61" t="s">
        <v>62</v>
      </c>
      <c r="C61" t="s">
        <v>66</v>
      </c>
      <c r="D61" t="s">
        <v>67</v>
      </c>
      <c r="E61" t="str">
        <f ca="1">TRIM(tbl_FamilyBackground[[#This Row],[father_job]])</f>
        <v>other</v>
      </c>
    </row>
    <row r="62" spans="1:5" x14ac:dyDescent="0.35">
      <c r="A62">
        <v>61</v>
      </c>
      <c r="B62" t="s">
        <v>62</v>
      </c>
      <c r="C62" t="s">
        <v>62</v>
      </c>
      <c r="D62" t="s">
        <v>9</v>
      </c>
      <c r="E62" t="str">
        <f ca="1">TRIM(tbl_FamilyBackground[[#This Row],[father_job]])</f>
        <v>teacher</v>
      </c>
    </row>
    <row r="63" spans="1:5" x14ac:dyDescent="0.35">
      <c r="A63">
        <v>62</v>
      </c>
      <c r="B63" t="s">
        <v>65</v>
      </c>
      <c r="C63" t="s">
        <v>65</v>
      </c>
      <c r="D63" t="s">
        <v>67</v>
      </c>
      <c r="E63" t="str">
        <f ca="1">TRIM(tbl_FamilyBackground[[#This Row],[father_job]])</f>
        <v>services</v>
      </c>
    </row>
    <row r="64" spans="1:5" x14ac:dyDescent="0.35">
      <c r="A64">
        <v>63</v>
      </c>
      <c r="B64" t="s">
        <v>65</v>
      </c>
      <c r="C64" t="s">
        <v>66</v>
      </c>
      <c r="D64" t="s">
        <v>27</v>
      </c>
      <c r="E64" t="str">
        <f ca="1">TRIM(tbl_FamilyBackground[[#This Row],[father_job]])</f>
        <v>services</v>
      </c>
    </row>
    <row r="65" spans="1:5" x14ac:dyDescent="0.35">
      <c r="A65">
        <v>64</v>
      </c>
      <c r="B65" t="s">
        <v>62</v>
      </c>
      <c r="C65" t="s">
        <v>68</v>
      </c>
      <c r="D65" t="s">
        <v>64</v>
      </c>
      <c r="E65" t="str">
        <f ca="1">TRIM(tbl_FamilyBackground[[#This Row],[father_job]])</f>
        <v>health</v>
      </c>
    </row>
    <row r="66" spans="1:5" x14ac:dyDescent="0.35">
      <c r="A66">
        <v>65</v>
      </c>
      <c r="B66" t="s">
        <v>62</v>
      </c>
      <c r="C66" t="s">
        <v>68</v>
      </c>
      <c r="D66" t="s">
        <v>67</v>
      </c>
      <c r="E66" t="str">
        <f ca="1">TRIM(tbl_FamilyBackground[[#This Row],[father_job]])</f>
        <v>services</v>
      </c>
    </row>
    <row r="67" spans="1:5" x14ac:dyDescent="0.35">
      <c r="A67">
        <v>66</v>
      </c>
      <c r="B67" t="s">
        <v>62</v>
      </c>
      <c r="C67" t="s">
        <v>68</v>
      </c>
      <c r="D67" t="s">
        <v>64</v>
      </c>
      <c r="E67" t="str">
        <f ca="1">TRIM(tbl_FamilyBackground[[#This Row],[father_job]])</f>
        <v>services</v>
      </c>
    </row>
    <row r="68" spans="1:5" x14ac:dyDescent="0.35">
      <c r="A68">
        <v>67</v>
      </c>
      <c r="B68" t="s">
        <v>62</v>
      </c>
      <c r="C68" t="s">
        <v>62</v>
      </c>
      <c r="D68" t="s">
        <v>27</v>
      </c>
      <c r="E68" t="str">
        <f ca="1">TRIM(tbl_FamilyBackground[[#This Row],[father_job]])</f>
        <v>services</v>
      </c>
    </row>
    <row r="69" spans="1:5" x14ac:dyDescent="0.35">
      <c r="A69">
        <v>68</v>
      </c>
      <c r="B69" t="s">
        <v>68</v>
      </c>
      <c r="C69" t="s">
        <v>65</v>
      </c>
      <c r="D69" t="s">
        <v>67</v>
      </c>
      <c r="E69" t="str">
        <f ca="1">TRIM(tbl_FamilyBackground[[#This Row],[father_job]])</f>
        <v>other</v>
      </c>
    </row>
    <row r="70" spans="1:5" x14ac:dyDescent="0.35">
      <c r="A70">
        <v>69</v>
      </c>
      <c r="B70" t="s">
        <v>66</v>
      </c>
      <c r="C70" t="s">
        <v>66</v>
      </c>
      <c r="D70" t="s">
        <v>9</v>
      </c>
      <c r="E70" t="str">
        <f ca="1">TRIM(tbl_FamilyBackground[[#This Row],[father_job]])</f>
        <v>services</v>
      </c>
    </row>
    <row r="71" spans="1:5" x14ac:dyDescent="0.35">
      <c r="A71">
        <v>70</v>
      </c>
      <c r="B71" t="s">
        <v>68</v>
      </c>
      <c r="C71" t="s">
        <v>65</v>
      </c>
      <c r="D71" t="s">
        <v>27</v>
      </c>
      <c r="E71" t="str">
        <f ca="1">TRIM(tbl_FamilyBackground[[#This Row],[father_job]])</f>
        <v>other</v>
      </c>
    </row>
    <row r="72" spans="1:5" x14ac:dyDescent="0.35">
      <c r="A72">
        <v>71</v>
      </c>
      <c r="B72" t="s">
        <v>68</v>
      </c>
      <c r="C72" t="s">
        <v>65</v>
      </c>
      <c r="D72" t="s">
        <v>27</v>
      </c>
      <c r="E72" t="str">
        <f ca="1">TRIM(tbl_FamilyBackground[[#This Row],[father_job]])</f>
        <v>other</v>
      </c>
    </row>
    <row r="73" spans="1:5" x14ac:dyDescent="0.35">
      <c r="A73">
        <v>72</v>
      </c>
      <c r="B73" t="s">
        <v>62</v>
      </c>
      <c r="C73" t="s">
        <v>66</v>
      </c>
      <c r="D73" t="s">
        <v>27</v>
      </c>
      <c r="E73" t="str">
        <f ca="1">TRIM(tbl_FamilyBackground[[#This Row],[father_job]])</f>
        <v>other</v>
      </c>
    </row>
    <row r="74" spans="1:5" x14ac:dyDescent="0.35">
      <c r="A74">
        <v>73</v>
      </c>
      <c r="B74" t="s">
        <v>65</v>
      </c>
      <c r="C74" t="s">
        <v>65</v>
      </c>
      <c r="D74" t="s">
        <v>27</v>
      </c>
      <c r="E74" t="str">
        <f ca="1">TRIM(tbl_FamilyBackground[[#This Row],[father_job]])</f>
        <v>other</v>
      </c>
    </row>
    <row r="75" spans="1:5" x14ac:dyDescent="0.35">
      <c r="A75">
        <v>74</v>
      </c>
      <c r="B75" t="s">
        <v>68</v>
      </c>
      <c r="C75" t="s">
        <v>65</v>
      </c>
      <c r="D75" t="s">
        <v>27</v>
      </c>
      <c r="E75" t="str">
        <f ca="1">TRIM(tbl_FamilyBackground[[#This Row],[father_job]])</f>
        <v>other</v>
      </c>
    </row>
    <row r="76" spans="1:5" x14ac:dyDescent="0.35">
      <c r="A76">
        <v>75</v>
      </c>
      <c r="B76" t="s">
        <v>68</v>
      </c>
      <c r="C76" t="s">
        <v>68</v>
      </c>
      <c r="D76" t="s">
        <v>27</v>
      </c>
      <c r="E76" t="str">
        <f ca="1">TRIM(tbl_FamilyBackground[[#This Row],[father_job]])</f>
        <v>services</v>
      </c>
    </row>
    <row r="77" spans="1:5" x14ac:dyDescent="0.35">
      <c r="A77">
        <v>76</v>
      </c>
      <c r="B77" t="s">
        <v>62</v>
      </c>
      <c r="C77" t="s">
        <v>68</v>
      </c>
      <c r="D77" t="s">
        <v>64</v>
      </c>
      <c r="E77" t="str">
        <f ca="1">TRIM(tbl_FamilyBackground[[#This Row],[father_job]])</f>
        <v>other</v>
      </c>
    </row>
    <row r="78" spans="1:5" x14ac:dyDescent="0.35">
      <c r="A78">
        <v>77</v>
      </c>
      <c r="B78" t="s">
        <v>62</v>
      </c>
      <c r="C78" t="s">
        <v>69</v>
      </c>
      <c r="D78" t="s">
        <v>64</v>
      </c>
      <c r="E78" t="str">
        <f ca="1">TRIM(tbl_FamilyBackground[[#This Row],[father_job]])</f>
        <v>other</v>
      </c>
    </row>
    <row r="79" spans="1:5" x14ac:dyDescent="0.35">
      <c r="A79">
        <v>78</v>
      </c>
      <c r="B79" t="s">
        <v>66</v>
      </c>
      <c r="C79" t="s">
        <v>66</v>
      </c>
      <c r="D79" t="s">
        <v>27</v>
      </c>
      <c r="E79" t="str">
        <f ca="1">TRIM(tbl_FamilyBackground[[#This Row],[father_job]])</f>
        <v>other</v>
      </c>
    </row>
    <row r="80" spans="1:5" x14ac:dyDescent="0.35">
      <c r="A80">
        <v>79</v>
      </c>
      <c r="B80" t="s">
        <v>66</v>
      </c>
      <c r="C80" t="s">
        <v>65</v>
      </c>
      <c r="D80" t="s">
        <v>27</v>
      </c>
      <c r="E80" t="str">
        <f ca="1">TRIM(tbl_FamilyBackground[[#This Row],[father_job]])</f>
        <v>other</v>
      </c>
    </row>
    <row r="81" spans="1:5" x14ac:dyDescent="0.35">
      <c r="A81">
        <v>80</v>
      </c>
      <c r="B81" t="s">
        <v>68</v>
      </c>
      <c r="C81" t="s">
        <v>62</v>
      </c>
      <c r="D81" t="s">
        <v>63</v>
      </c>
      <c r="E81" t="str">
        <f ca="1">TRIM(tbl_FamilyBackground[[#This Row],[father_job]])</f>
        <v>other</v>
      </c>
    </row>
    <row r="82" spans="1:5" x14ac:dyDescent="0.35">
      <c r="A82">
        <v>81</v>
      </c>
      <c r="B82" t="s">
        <v>66</v>
      </c>
      <c r="C82" t="s">
        <v>68</v>
      </c>
      <c r="D82" t="s">
        <v>27</v>
      </c>
      <c r="E82" t="str">
        <f ca="1">TRIM(tbl_FamilyBackground[[#This Row],[father_job]])</f>
        <v>services</v>
      </c>
    </row>
    <row r="83" spans="1:5" x14ac:dyDescent="0.35">
      <c r="A83">
        <v>82</v>
      </c>
      <c r="B83" t="s">
        <v>66</v>
      </c>
      <c r="C83" t="s">
        <v>68</v>
      </c>
      <c r="D83" t="s">
        <v>27</v>
      </c>
      <c r="E83" t="str">
        <f ca="1">TRIM(tbl_FamilyBackground[[#This Row],[father_job]])</f>
        <v>other</v>
      </c>
    </row>
    <row r="84" spans="1:5" x14ac:dyDescent="0.35">
      <c r="A84">
        <v>83</v>
      </c>
      <c r="B84" t="s">
        <v>68</v>
      </c>
      <c r="C84" t="s">
        <v>66</v>
      </c>
      <c r="D84" t="s">
        <v>67</v>
      </c>
      <c r="E84" t="str">
        <f ca="1">TRIM(tbl_FamilyBackground[[#This Row],[father_job]])</f>
        <v>other</v>
      </c>
    </row>
    <row r="85" spans="1:5" x14ac:dyDescent="0.35">
      <c r="A85">
        <v>84</v>
      </c>
      <c r="B85" t="s">
        <v>66</v>
      </c>
      <c r="C85" t="s">
        <v>66</v>
      </c>
      <c r="D85" t="s">
        <v>67</v>
      </c>
      <c r="E85" t="str">
        <f ca="1">TRIM(tbl_FamilyBackground[[#This Row],[father_job]])</f>
        <v>services</v>
      </c>
    </row>
    <row r="86" spans="1:5" x14ac:dyDescent="0.35">
      <c r="A86">
        <v>85</v>
      </c>
      <c r="B86" t="s">
        <v>65</v>
      </c>
      <c r="C86" t="s">
        <v>65</v>
      </c>
      <c r="D86" t="s">
        <v>27</v>
      </c>
      <c r="E86" t="str">
        <f ca="1">TRIM(tbl_FamilyBackground[[#This Row],[father_job]])</f>
        <v>other</v>
      </c>
    </row>
    <row r="87" spans="1:5" x14ac:dyDescent="0.35">
      <c r="A87">
        <v>86</v>
      </c>
      <c r="B87" t="s">
        <v>62</v>
      </c>
      <c r="C87" t="s">
        <v>62</v>
      </c>
      <c r="D87" t="s">
        <v>67</v>
      </c>
      <c r="E87" t="str">
        <f ca="1">TRIM(tbl_FamilyBackground[[#This Row],[father_job]])</f>
        <v>services</v>
      </c>
    </row>
    <row r="88" spans="1:5" x14ac:dyDescent="0.35">
      <c r="A88">
        <v>87</v>
      </c>
      <c r="B88" t="s">
        <v>66</v>
      </c>
      <c r="C88" t="s">
        <v>66</v>
      </c>
      <c r="D88" t="s">
        <v>63</v>
      </c>
      <c r="E88" t="str">
        <f ca="1">TRIM(tbl_FamilyBackground[[#This Row],[father_job]])</f>
        <v>other</v>
      </c>
    </row>
    <row r="89" spans="1:5" x14ac:dyDescent="0.35">
      <c r="A89">
        <v>88</v>
      </c>
      <c r="B89" t="s">
        <v>62</v>
      </c>
      <c r="C89" t="s">
        <v>66</v>
      </c>
      <c r="D89" t="s">
        <v>27</v>
      </c>
      <c r="E89" t="str">
        <f ca="1">TRIM(tbl_FamilyBackground[[#This Row],[father_job]])</f>
        <v>other</v>
      </c>
    </row>
    <row r="90" spans="1:5" x14ac:dyDescent="0.35">
      <c r="A90">
        <v>89</v>
      </c>
      <c r="B90" t="s">
        <v>66</v>
      </c>
      <c r="C90" t="s">
        <v>66</v>
      </c>
      <c r="D90" t="s">
        <v>67</v>
      </c>
      <c r="E90" t="str">
        <f ca="1">TRIM(tbl_FamilyBackground[[#This Row],[father_job]])</f>
        <v>other</v>
      </c>
    </row>
    <row r="91" spans="1:5" x14ac:dyDescent="0.35">
      <c r="A91">
        <v>90</v>
      </c>
      <c r="B91" t="s">
        <v>62</v>
      </c>
      <c r="C91" t="s">
        <v>62</v>
      </c>
      <c r="D91" t="s">
        <v>64</v>
      </c>
      <c r="E91" t="str">
        <f ca="1">TRIM(tbl_FamilyBackground[[#This Row],[father_job]])</f>
        <v>health</v>
      </c>
    </row>
    <row r="92" spans="1:5" x14ac:dyDescent="0.35">
      <c r="A92">
        <v>91</v>
      </c>
      <c r="B92" t="s">
        <v>68</v>
      </c>
      <c r="C92" t="s">
        <v>68</v>
      </c>
      <c r="D92" t="s">
        <v>27</v>
      </c>
      <c r="E92" t="str">
        <f ca="1">TRIM(tbl_FamilyBackground[[#This Row],[father_job]])</f>
        <v>other</v>
      </c>
    </row>
    <row r="93" spans="1:5" x14ac:dyDescent="0.35">
      <c r="A93">
        <v>92</v>
      </c>
      <c r="B93" t="s">
        <v>62</v>
      </c>
      <c r="C93" t="s">
        <v>68</v>
      </c>
      <c r="D93" t="s">
        <v>67</v>
      </c>
      <c r="E93" t="str">
        <f ca="1">TRIM(tbl_FamilyBackground[[#This Row],[father_job]])</f>
        <v>other</v>
      </c>
    </row>
    <row r="94" spans="1:5" x14ac:dyDescent="0.35">
      <c r="A94">
        <v>93</v>
      </c>
      <c r="B94" t="s">
        <v>68</v>
      </c>
      <c r="C94" t="s">
        <v>65</v>
      </c>
      <c r="D94" t="s">
        <v>27</v>
      </c>
      <c r="E94" t="str">
        <f ca="1">TRIM(tbl_FamilyBackground[[#This Row],[father_job]])</f>
        <v>other</v>
      </c>
    </row>
    <row r="95" spans="1:5" x14ac:dyDescent="0.35">
      <c r="A95">
        <v>94</v>
      </c>
      <c r="B95" t="s">
        <v>62</v>
      </c>
      <c r="C95" t="s">
        <v>66</v>
      </c>
      <c r="D95" t="s">
        <v>64</v>
      </c>
      <c r="E95" t="str">
        <f ca="1">TRIM(tbl_FamilyBackground[[#This Row],[father_job]])</f>
        <v>services</v>
      </c>
    </row>
    <row r="96" spans="1:5" x14ac:dyDescent="0.35">
      <c r="A96">
        <v>95</v>
      </c>
      <c r="B96" t="s">
        <v>66</v>
      </c>
      <c r="C96" t="s">
        <v>66</v>
      </c>
      <c r="D96" t="s">
        <v>67</v>
      </c>
      <c r="E96" t="str">
        <f ca="1">TRIM(tbl_FamilyBackground[[#This Row],[father_job]])</f>
        <v>health</v>
      </c>
    </row>
    <row r="97" spans="1:5" x14ac:dyDescent="0.35">
      <c r="A97">
        <v>96</v>
      </c>
      <c r="B97" t="s">
        <v>65</v>
      </c>
      <c r="C97" t="s">
        <v>65</v>
      </c>
      <c r="D97" t="s">
        <v>63</v>
      </c>
      <c r="E97" t="str">
        <f ca="1">TRIM(tbl_FamilyBackground[[#This Row],[father_job]])</f>
        <v>other</v>
      </c>
    </row>
    <row r="98" spans="1:5" x14ac:dyDescent="0.35">
      <c r="A98">
        <v>97</v>
      </c>
      <c r="B98" t="s">
        <v>62</v>
      </c>
      <c r="C98" t="s">
        <v>68</v>
      </c>
      <c r="D98" t="s">
        <v>67</v>
      </c>
      <c r="E98" t="str">
        <f ca="1">TRIM(tbl_FamilyBackground[[#This Row],[father_job]])</f>
        <v>other</v>
      </c>
    </row>
    <row r="99" spans="1:5" x14ac:dyDescent="0.35">
      <c r="A99">
        <v>98</v>
      </c>
      <c r="B99" t="s">
        <v>66</v>
      </c>
      <c r="C99" t="s">
        <v>65</v>
      </c>
      <c r="D99" t="s">
        <v>27</v>
      </c>
      <c r="E99" t="str">
        <f ca="1">TRIM(tbl_FamilyBackground[[#This Row],[father_job]])</f>
        <v>other</v>
      </c>
    </row>
    <row r="100" spans="1:5" x14ac:dyDescent="0.35">
      <c r="A100">
        <v>99</v>
      </c>
      <c r="B100" t="s">
        <v>62</v>
      </c>
      <c r="C100" t="s">
        <v>62</v>
      </c>
      <c r="D100" t="s">
        <v>27</v>
      </c>
      <c r="E100" t="str">
        <f ca="1">TRIM(tbl_FamilyBackground[[#This Row],[father_job]])</f>
        <v>other</v>
      </c>
    </row>
    <row r="101" spans="1:5" x14ac:dyDescent="0.35">
      <c r="A101">
        <v>100</v>
      </c>
      <c r="B101" t="s">
        <v>62</v>
      </c>
      <c r="C101" t="s">
        <v>68</v>
      </c>
      <c r="D101" t="s">
        <v>27</v>
      </c>
      <c r="E101" t="str">
        <f ca="1">TRIM(tbl_FamilyBackground[[#This Row],[father_job]])</f>
        <v>at_home</v>
      </c>
    </row>
    <row r="102" spans="1:5" x14ac:dyDescent="0.35">
      <c r="A102">
        <v>101</v>
      </c>
      <c r="B102" t="s">
        <v>62</v>
      </c>
      <c r="C102" t="s">
        <v>62</v>
      </c>
      <c r="D102" t="s">
        <v>67</v>
      </c>
      <c r="E102" t="str">
        <f ca="1">TRIM(tbl_FamilyBackground[[#This Row],[father_job]])</f>
        <v>services</v>
      </c>
    </row>
    <row r="103" spans="1:5" x14ac:dyDescent="0.35">
      <c r="A103">
        <v>102</v>
      </c>
      <c r="B103" t="s">
        <v>62</v>
      </c>
      <c r="C103" t="s">
        <v>62</v>
      </c>
      <c r="D103" t="s">
        <v>67</v>
      </c>
      <c r="E103" t="str">
        <f ca="1">TRIM(tbl_FamilyBackground[[#This Row],[father_job]])</f>
        <v>teacher</v>
      </c>
    </row>
    <row r="104" spans="1:5" x14ac:dyDescent="0.35">
      <c r="A104">
        <v>103</v>
      </c>
      <c r="B104" t="s">
        <v>62</v>
      </c>
      <c r="C104" t="s">
        <v>62</v>
      </c>
      <c r="D104" t="s">
        <v>67</v>
      </c>
      <c r="E104" t="str">
        <f ca="1">TRIM(tbl_FamilyBackground[[#This Row],[father_job]])</f>
        <v>other</v>
      </c>
    </row>
    <row r="105" spans="1:5" x14ac:dyDescent="0.35">
      <c r="A105">
        <v>104</v>
      </c>
      <c r="B105" t="s">
        <v>68</v>
      </c>
      <c r="C105" t="s">
        <v>66</v>
      </c>
      <c r="D105" t="s">
        <v>67</v>
      </c>
      <c r="E105" t="str">
        <f ca="1">TRIM(tbl_FamilyBackground[[#This Row],[father_job]])</f>
        <v>other</v>
      </c>
    </row>
    <row r="106" spans="1:5" x14ac:dyDescent="0.35">
      <c r="A106">
        <v>105</v>
      </c>
      <c r="B106" t="s">
        <v>68</v>
      </c>
      <c r="C106" t="s">
        <v>62</v>
      </c>
      <c r="D106" t="s">
        <v>67</v>
      </c>
      <c r="E106" t="str">
        <f ca="1">TRIM(tbl_FamilyBackground[[#This Row],[father_job]])</f>
        <v>other</v>
      </c>
    </row>
    <row r="107" spans="1:5" x14ac:dyDescent="0.35">
      <c r="A107">
        <v>106</v>
      </c>
      <c r="B107" t="s">
        <v>68</v>
      </c>
      <c r="C107" t="s">
        <v>68</v>
      </c>
      <c r="D107" t="s">
        <v>27</v>
      </c>
      <c r="E107" t="str">
        <f ca="1">TRIM(tbl_FamilyBackground[[#This Row],[father_job]])</f>
        <v>health</v>
      </c>
    </row>
    <row r="108" spans="1:5" x14ac:dyDescent="0.35">
      <c r="A108">
        <v>107</v>
      </c>
      <c r="B108" t="s">
        <v>66</v>
      </c>
      <c r="C108" t="s">
        <v>66</v>
      </c>
      <c r="D108" t="s">
        <v>27</v>
      </c>
      <c r="E108" t="str">
        <f ca="1">TRIM(tbl_FamilyBackground[[#This Row],[father_job]])</f>
        <v>other</v>
      </c>
    </row>
    <row r="109" spans="1:5" x14ac:dyDescent="0.35">
      <c r="A109">
        <v>108</v>
      </c>
      <c r="B109" t="s">
        <v>68</v>
      </c>
      <c r="C109" t="s">
        <v>68</v>
      </c>
      <c r="D109" t="s">
        <v>67</v>
      </c>
      <c r="E109" t="str">
        <f ca="1">TRIM(tbl_FamilyBackground[[#This Row],[father_job]])</f>
        <v>other</v>
      </c>
    </row>
    <row r="110" spans="1:5" x14ac:dyDescent="0.35">
      <c r="A110">
        <v>109</v>
      </c>
      <c r="B110" t="s">
        <v>62</v>
      </c>
      <c r="C110" t="s">
        <v>62</v>
      </c>
      <c r="D110" t="s">
        <v>27</v>
      </c>
      <c r="E110" t="str">
        <f ca="1">TRIM(tbl_FamilyBackground[[#This Row],[father_job]])</f>
        <v>other</v>
      </c>
    </row>
    <row r="111" spans="1:5" x14ac:dyDescent="0.35">
      <c r="A111">
        <v>110</v>
      </c>
      <c r="B111" t="s">
        <v>62</v>
      </c>
      <c r="C111" t="s">
        <v>62</v>
      </c>
      <c r="D111" t="s">
        <v>9</v>
      </c>
      <c r="E111" t="str">
        <f ca="1">TRIM(tbl_FamilyBackground[[#This Row],[father_job]])</f>
        <v>health</v>
      </c>
    </row>
    <row r="112" spans="1:5" x14ac:dyDescent="0.35">
      <c r="A112">
        <v>111</v>
      </c>
      <c r="B112" t="s">
        <v>62</v>
      </c>
      <c r="C112" t="s">
        <v>62</v>
      </c>
      <c r="D112" t="s">
        <v>64</v>
      </c>
      <c r="E112" t="str">
        <f ca="1">TRIM(tbl_FamilyBackground[[#This Row],[father_job]])</f>
        <v>teacher</v>
      </c>
    </row>
    <row r="113" spans="1:5" x14ac:dyDescent="0.35">
      <c r="A113">
        <v>112</v>
      </c>
      <c r="B113" t="s">
        <v>68</v>
      </c>
      <c r="C113" t="s">
        <v>68</v>
      </c>
      <c r="D113" t="s">
        <v>67</v>
      </c>
      <c r="E113" t="str">
        <f ca="1">TRIM(tbl_FamilyBackground[[#This Row],[father_job]])</f>
        <v>other</v>
      </c>
    </row>
    <row r="114" spans="1:5" x14ac:dyDescent="0.35">
      <c r="A114">
        <v>113</v>
      </c>
      <c r="B114" t="s">
        <v>66</v>
      </c>
      <c r="C114" t="s">
        <v>66</v>
      </c>
      <c r="D114" t="s">
        <v>63</v>
      </c>
      <c r="E114" t="str">
        <f ca="1">TRIM(tbl_FamilyBackground[[#This Row],[father_job]])</f>
        <v>other</v>
      </c>
    </row>
    <row r="115" spans="1:5" x14ac:dyDescent="0.35">
      <c r="A115">
        <v>114</v>
      </c>
      <c r="B115" t="s">
        <v>62</v>
      </c>
      <c r="C115" t="s">
        <v>66</v>
      </c>
      <c r="D115" t="s">
        <v>64</v>
      </c>
      <c r="E115" t="str">
        <f ca="1">TRIM(tbl_FamilyBackground[[#This Row],[father_job]])</f>
        <v>other</v>
      </c>
    </row>
    <row r="116" spans="1:5" x14ac:dyDescent="0.35">
      <c r="A116">
        <v>115</v>
      </c>
      <c r="B116" t="s">
        <v>66</v>
      </c>
      <c r="C116" t="s">
        <v>65</v>
      </c>
      <c r="D116" t="s">
        <v>9</v>
      </c>
      <c r="E116" t="str">
        <f ca="1">TRIM(tbl_FamilyBackground[[#This Row],[father_job]])</f>
        <v>services</v>
      </c>
    </row>
    <row r="117" spans="1:5" x14ac:dyDescent="0.35">
      <c r="A117">
        <v>116</v>
      </c>
      <c r="B117" t="s">
        <v>62</v>
      </c>
      <c r="C117" t="s">
        <v>62</v>
      </c>
      <c r="D117" t="s">
        <v>64</v>
      </c>
      <c r="E117" t="str">
        <f ca="1">TRIM(tbl_FamilyBackground[[#This Row],[father_job]])</f>
        <v>teacher</v>
      </c>
    </row>
    <row r="118" spans="1:5" x14ac:dyDescent="0.35">
      <c r="A118">
        <v>117</v>
      </c>
      <c r="B118" t="s">
        <v>62</v>
      </c>
      <c r="C118" t="s">
        <v>62</v>
      </c>
      <c r="D118" t="s">
        <v>27</v>
      </c>
      <c r="E118" t="str">
        <f ca="1">TRIM(tbl_FamilyBackground[[#This Row],[father_job]])</f>
        <v>teacher</v>
      </c>
    </row>
    <row r="119" spans="1:5" x14ac:dyDescent="0.35">
      <c r="A119">
        <v>118</v>
      </c>
      <c r="B119" t="s">
        <v>68</v>
      </c>
      <c r="C119" t="s">
        <v>68</v>
      </c>
      <c r="D119" t="s">
        <v>27</v>
      </c>
      <c r="E119" t="str">
        <f ca="1">TRIM(tbl_FamilyBackground[[#This Row],[father_job]])</f>
        <v>services</v>
      </c>
    </row>
    <row r="120" spans="1:5" x14ac:dyDescent="0.35">
      <c r="A120">
        <v>119</v>
      </c>
      <c r="B120" t="s">
        <v>65</v>
      </c>
      <c r="C120" t="s">
        <v>68</v>
      </c>
      <c r="D120" t="s">
        <v>27</v>
      </c>
      <c r="E120" t="str">
        <f ca="1">TRIM(tbl_FamilyBackground[[#This Row],[father_job]])</f>
        <v>other</v>
      </c>
    </row>
    <row r="121" spans="1:5" x14ac:dyDescent="0.35">
      <c r="A121">
        <v>120</v>
      </c>
      <c r="B121" t="s">
        <v>68</v>
      </c>
      <c r="C121" t="s">
        <v>62</v>
      </c>
      <c r="D121" t="s">
        <v>27</v>
      </c>
      <c r="E121" t="str">
        <f ca="1">TRIM(tbl_FamilyBackground[[#This Row],[father_job]])</f>
        <v>other</v>
      </c>
    </row>
    <row r="122" spans="1:5" x14ac:dyDescent="0.35">
      <c r="A122">
        <v>121</v>
      </c>
      <c r="B122" t="s">
        <v>65</v>
      </c>
      <c r="C122" t="s">
        <v>66</v>
      </c>
      <c r="D122" t="s">
        <v>63</v>
      </c>
      <c r="E122" t="str">
        <f ca="1">TRIM(tbl_FamilyBackground[[#This Row],[father_job]])</f>
        <v>services</v>
      </c>
    </row>
    <row r="123" spans="1:5" x14ac:dyDescent="0.35">
      <c r="A123">
        <v>122</v>
      </c>
      <c r="B123" t="s">
        <v>66</v>
      </c>
      <c r="C123" t="s">
        <v>66</v>
      </c>
      <c r="D123" t="s">
        <v>67</v>
      </c>
      <c r="E123" t="str">
        <f ca="1">TRIM(tbl_FamilyBackground[[#This Row],[father_job]])</f>
        <v>services</v>
      </c>
    </row>
    <row r="124" spans="1:5" x14ac:dyDescent="0.35">
      <c r="A124">
        <v>123</v>
      </c>
      <c r="B124" t="s">
        <v>66</v>
      </c>
      <c r="C124" t="s">
        <v>62</v>
      </c>
      <c r="D124" t="s">
        <v>27</v>
      </c>
      <c r="E124" t="str">
        <f ca="1">TRIM(tbl_FamilyBackground[[#This Row],[father_job]])</f>
        <v>health</v>
      </c>
    </row>
    <row r="125" spans="1:5" x14ac:dyDescent="0.35">
      <c r="A125">
        <v>124</v>
      </c>
      <c r="B125" t="s">
        <v>62</v>
      </c>
      <c r="C125" t="s">
        <v>62</v>
      </c>
      <c r="D125" t="s">
        <v>9</v>
      </c>
      <c r="E125" t="str">
        <f ca="1">TRIM(tbl_FamilyBackground[[#This Row],[father_job]])</f>
        <v>other</v>
      </c>
    </row>
    <row r="126" spans="1:5" x14ac:dyDescent="0.35">
      <c r="A126">
        <v>125</v>
      </c>
      <c r="B126" t="s">
        <v>66</v>
      </c>
      <c r="C126" t="s">
        <v>66</v>
      </c>
      <c r="D126" t="s">
        <v>27</v>
      </c>
      <c r="E126" t="str">
        <f ca="1">TRIM(tbl_FamilyBackground[[#This Row],[father_job]])</f>
        <v>other</v>
      </c>
    </row>
    <row r="127" spans="1:5" x14ac:dyDescent="0.35">
      <c r="A127">
        <v>126</v>
      </c>
      <c r="B127" t="s">
        <v>68</v>
      </c>
      <c r="C127" t="s">
        <v>62</v>
      </c>
      <c r="D127" t="s">
        <v>67</v>
      </c>
      <c r="E127" t="str">
        <f ca="1">TRIM(tbl_FamilyBackground[[#This Row],[father_job]])</f>
        <v>services</v>
      </c>
    </row>
    <row r="128" spans="1:5" x14ac:dyDescent="0.35">
      <c r="A128">
        <v>127</v>
      </c>
      <c r="B128" t="s">
        <v>68</v>
      </c>
      <c r="C128" t="s">
        <v>62</v>
      </c>
      <c r="D128" t="s">
        <v>27</v>
      </c>
      <c r="E128" t="str">
        <f ca="1">TRIM(tbl_FamilyBackground[[#This Row],[father_job]])</f>
        <v>other</v>
      </c>
    </row>
    <row r="129" spans="1:5" x14ac:dyDescent="0.35">
      <c r="A129">
        <v>128</v>
      </c>
      <c r="B129" t="s">
        <v>69</v>
      </c>
      <c r="C129" t="s">
        <v>65</v>
      </c>
      <c r="D129" t="s">
        <v>63</v>
      </c>
      <c r="E129" t="str">
        <f ca="1">TRIM(tbl_FamilyBackground[[#This Row],[father_job]])</f>
        <v>other</v>
      </c>
    </row>
    <row r="130" spans="1:5" x14ac:dyDescent="0.35">
      <c r="A130">
        <v>129</v>
      </c>
      <c r="B130" t="s">
        <v>66</v>
      </c>
      <c r="C130" t="s">
        <v>66</v>
      </c>
      <c r="D130" t="s">
        <v>67</v>
      </c>
      <c r="E130" t="str">
        <f ca="1">TRIM(tbl_FamilyBackground[[#This Row],[father_job]])</f>
        <v>other</v>
      </c>
    </row>
    <row r="131" spans="1:5" x14ac:dyDescent="0.35">
      <c r="A131">
        <v>130</v>
      </c>
      <c r="B131" t="s">
        <v>62</v>
      </c>
      <c r="C131" t="s">
        <v>62</v>
      </c>
      <c r="D131" t="s">
        <v>64</v>
      </c>
      <c r="E131" t="str">
        <f ca="1">TRIM(tbl_FamilyBackground[[#This Row],[father_job]])</f>
        <v>teacher</v>
      </c>
    </row>
    <row r="132" spans="1:5" x14ac:dyDescent="0.35">
      <c r="A132">
        <v>131</v>
      </c>
      <c r="B132" t="s">
        <v>68</v>
      </c>
      <c r="C132" t="s">
        <v>62</v>
      </c>
      <c r="D132" t="s">
        <v>67</v>
      </c>
      <c r="E132" t="str">
        <f ca="1">TRIM(tbl_FamilyBackground[[#This Row],[father_job]])</f>
        <v>teacher</v>
      </c>
    </row>
    <row r="133" spans="1:5" x14ac:dyDescent="0.35">
      <c r="A133">
        <v>132</v>
      </c>
      <c r="B133" t="s">
        <v>65</v>
      </c>
      <c r="C133" t="s">
        <v>65</v>
      </c>
      <c r="D133" t="s">
        <v>63</v>
      </c>
      <c r="E133" t="str">
        <f ca="1">TRIM(tbl_FamilyBackground[[#This Row],[father_job]])</f>
        <v>other</v>
      </c>
    </row>
    <row r="134" spans="1:5" x14ac:dyDescent="0.35">
      <c r="A134">
        <v>133</v>
      </c>
      <c r="B134" t="s">
        <v>66</v>
      </c>
      <c r="C134" t="s">
        <v>66</v>
      </c>
      <c r="D134" t="s">
        <v>27</v>
      </c>
      <c r="E134" t="str">
        <f ca="1">TRIM(tbl_FamilyBackground[[#This Row],[father_job]])</f>
        <v>other</v>
      </c>
    </row>
    <row r="135" spans="1:5" x14ac:dyDescent="0.35">
      <c r="A135">
        <v>134</v>
      </c>
      <c r="B135" t="s">
        <v>68</v>
      </c>
      <c r="C135" t="s">
        <v>62</v>
      </c>
      <c r="D135" t="s">
        <v>67</v>
      </c>
      <c r="E135" t="str">
        <f ca="1">TRIM(tbl_FamilyBackground[[#This Row],[father_job]])</f>
        <v>other</v>
      </c>
    </row>
    <row r="136" spans="1:5" x14ac:dyDescent="0.35">
      <c r="A136">
        <v>135</v>
      </c>
      <c r="B136" t="s">
        <v>68</v>
      </c>
      <c r="C136" t="s">
        <v>62</v>
      </c>
      <c r="D136" t="s">
        <v>63</v>
      </c>
      <c r="E136" t="str">
        <f ca="1">TRIM(tbl_FamilyBackground[[#This Row],[father_job]])</f>
        <v>teacher</v>
      </c>
    </row>
    <row r="137" spans="1:5" x14ac:dyDescent="0.35">
      <c r="A137">
        <v>136</v>
      </c>
      <c r="B137" t="s">
        <v>62</v>
      </c>
      <c r="C137" t="s">
        <v>62</v>
      </c>
      <c r="D137" t="s">
        <v>67</v>
      </c>
      <c r="E137" t="str">
        <f ca="1">TRIM(tbl_FamilyBackground[[#This Row],[father_job]])</f>
        <v>at_home</v>
      </c>
    </row>
    <row r="138" spans="1:5" x14ac:dyDescent="0.35">
      <c r="A138">
        <v>137</v>
      </c>
      <c r="B138" t="s">
        <v>68</v>
      </c>
      <c r="C138" t="s">
        <v>62</v>
      </c>
      <c r="D138" t="s">
        <v>63</v>
      </c>
      <c r="E138" t="str">
        <f ca="1">TRIM(tbl_FamilyBackground[[#This Row],[father_job]])</f>
        <v>other</v>
      </c>
    </row>
    <row r="139" spans="1:5" x14ac:dyDescent="0.35">
      <c r="A139">
        <v>138</v>
      </c>
      <c r="B139" t="s">
        <v>68</v>
      </c>
      <c r="C139" t="s">
        <v>68</v>
      </c>
      <c r="D139" t="s">
        <v>27</v>
      </c>
      <c r="E139" t="str">
        <f ca="1">TRIM(tbl_FamilyBackground[[#This Row],[father_job]])</f>
        <v>other</v>
      </c>
    </row>
    <row r="140" spans="1:5" x14ac:dyDescent="0.35">
      <c r="A140">
        <v>139</v>
      </c>
      <c r="B140" t="s">
        <v>65</v>
      </c>
      <c r="C140" t="s">
        <v>65</v>
      </c>
      <c r="D140" t="s">
        <v>67</v>
      </c>
      <c r="E140" t="str">
        <f ca="1">TRIM(tbl_FamilyBackground[[#This Row],[father_job]])</f>
        <v>other</v>
      </c>
    </row>
    <row r="141" spans="1:5" x14ac:dyDescent="0.35">
      <c r="A141">
        <v>140</v>
      </c>
      <c r="B141" t="s">
        <v>62</v>
      </c>
      <c r="C141" t="s">
        <v>62</v>
      </c>
      <c r="D141" t="s">
        <v>64</v>
      </c>
      <c r="E141" t="str">
        <f ca="1">TRIM(tbl_FamilyBackground[[#This Row],[father_job]])</f>
        <v>teacher</v>
      </c>
    </row>
    <row r="142" spans="1:5" x14ac:dyDescent="0.35">
      <c r="A142">
        <v>141</v>
      </c>
      <c r="B142" t="s">
        <v>62</v>
      </c>
      <c r="C142" t="s">
        <v>68</v>
      </c>
      <c r="D142" t="s">
        <v>64</v>
      </c>
      <c r="E142" t="str">
        <f ca="1">TRIM(tbl_FamilyBackground[[#This Row],[father_job]])</f>
        <v>services</v>
      </c>
    </row>
    <row r="143" spans="1:5" x14ac:dyDescent="0.35">
      <c r="A143">
        <v>142</v>
      </c>
      <c r="B143" t="s">
        <v>66</v>
      </c>
      <c r="C143" t="s">
        <v>66</v>
      </c>
      <c r="D143" t="s">
        <v>67</v>
      </c>
      <c r="E143" t="str">
        <f ca="1">TRIM(tbl_FamilyBackground[[#This Row],[father_job]])</f>
        <v>services</v>
      </c>
    </row>
    <row r="144" spans="1:5" x14ac:dyDescent="0.35">
      <c r="A144">
        <v>143</v>
      </c>
      <c r="B144" t="s">
        <v>62</v>
      </c>
      <c r="C144" t="s">
        <v>62</v>
      </c>
      <c r="D144" t="s">
        <v>64</v>
      </c>
      <c r="E144" t="str">
        <f ca="1">TRIM(tbl_FamilyBackground[[#This Row],[father_job]])</f>
        <v>services</v>
      </c>
    </row>
    <row r="145" spans="1:5" x14ac:dyDescent="0.35">
      <c r="A145">
        <v>144</v>
      </c>
      <c r="B145" t="s">
        <v>65</v>
      </c>
      <c r="C145" t="s">
        <v>65</v>
      </c>
      <c r="D145" t="s">
        <v>63</v>
      </c>
      <c r="E145" t="str">
        <f ca="1">TRIM(tbl_FamilyBackground[[#This Row],[father_job]])</f>
        <v>at_home</v>
      </c>
    </row>
    <row r="146" spans="1:5" x14ac:dyDescent="0.35">
      <c r="A146">
        <v>145</v>
      </c>
      <c r="B146" t="s">
        <v>66</v>
      </c>
      <c r="C146" t="s">
        <v>65</v>
      </c>
      <c r="D146" t="s">
        <v>27</v>
      </c>
      <c r="E146" t="str">
        <f ca="1">TRIM(tbl_FamilyBackground[[#This Row],[father_job]])</f>
        <v>other</v>
      </c>
    </row>
    <row r="147" spans="1:5" x14ac:dyDescent="0.35">
      <c r="A147">
        <v>146</v>
      </c>
      <c r="B147" t="s">
        <v>65</v>
      </c>
      <c r="C147" t="s">
        <v>65</v>
      </c>
      <c r="D147" t="s">
        <v>27</v>
      </c>
      <c r="E147" t="str">
        <f ca="1">TRIM(tbl_FamilyBackground[[#This Row],[father_job]])</f>
        <v>services</v>
      </c>
    </row>
    <row r="148" spans="1:5" x14ac:dyDescent="0.35">
      <c r="A148">
        <v>147</v>
      </c>
      <c r="B148" t="s">
        <v>68</v>
      </c>
      <c r="C148" t="s">
        <v>66</v>
      </c>
      <c r="D148" t="s">
        <v>9</v>
      </c>
      <c r="E148" t="str">
        <f ca="1">TRIM(tbl_FamilyBackground[[#This Row],[father_job]])</f>
        <v>services</v>
      </c>
    </row>
    <row r="149" spans="1:5" x14ac:dyDescent="0.35">
      <c r="A149">
        <v>148</v>
      </c>
      <c r="B149" t="s">
        <v>65</v>
      </c>
      <c r="C149" t="s">
        <v>66</v>
      </c>
      <c r="D149" t="s">
        <v>63</v>
      </c>
      <c r="E149" t="str">
        <f ca="1">TRIM(tbl_FamilyBackground[[#This Row],[father_job]])</f>
        <v>other</v>
      </c>
    </row>
    <row r="150" spans="1:5" x14ac:dyDescent="0.35">
      <c r="A150">
        <v>149</v>
      </c>
      <c r="B150" t="s">
        <v>62</v>
      </c>
      <c r="C150" t="s">
        <v>62</v>
      </c>
      <c r="D150" t="s">
        <v>64</v>
      </c>
      <c r="E150" t="str">
        <f ca="1">TRIM(tbl_FamilyBackground[[#This Row],[father_job]])</f>
        <v>teacher</v>
      </c>
    </row>
    <row r="151" spans="1:5" x14ac:dyDescent="0.35">
      <c r="A151">
        <v>150</v>
      </c>
      <c r="B151" t="s">
        <v>66</v>
      </c>
      <c r="C151" t="s">
        <v>65</v>
      </c>
      <c r="D151" t="s">
        <v>67</v>
      </c>
      <c r="E151" t="str">
        <f ca="1">TRIM(tbl_FamilyBackground[[#This Row],[father_job]])</f>
        <v>other</v>
      </c>
    </row>
    <row r="152" spans="1:5" x14ac:dyDescent="0.35">
      <c r="A152">
        <v>151</v>
      </c>
      <c r="B152" t="s">
        <v>65</v>
      </c>
      <c r="C152" t="s">
        <v>65</v>
      </c>
      <c r="D152" t="s">
        <v>27</v>
      </c>
      <c r="E152" t="str">
        <f ca="1">TRIM(tbl_FamilyBackground[[#This Row],[father_job]])</f>
        <v>other</v>
      </c>
    </row>
    <row r="153" spans="1:5" x14ac:dyDescent="0.35">
      <c r="A153">
        <v>152</v>
      </c>
      <c r="B153" t="s">
        <v>66</v>
      </c>
      <c r="C153" t="s">
        <v>65</v>
      </c>
      <c r="D153" t="s">
        <v>63</v>
      </c>
      <c r="E153" t="str">
        <f ca="1">TRIM(tbl_FamilyBackground[[#This Row],[father_job]])</f>
        <v>other</v>
      </c>
    </row>
    <row r="154" spans="1:5" x14ac:dyDescent="0.35">
      <c r="A154">
        <v>153</v>
      </c>
      <c r="B154" t="s">
        <v>68</v>
      </c>
      <c r="C154" t="s">
        <v>68</v>
      </c>
      <c r="D154" t="s">
        <v>67</v>
      </c>
      <c r="E154" t="str">
        <f ca="1">TRIM(tbl_FamilyBackground[[#This Row],[father_job]])</f>
        <v>services</v>
      </c>
    </row>
    <row r="155" spans="1:5" x14ac:dyDescent="0.35">
      <c r="A155">
        <v>154</v>
      </c>
      <c r="B155" t="s">
        <v>68</v>
      </c>
      <c r="C155" t="s">
        <v>66</v>
      </c>
      <c r="D155" t="s">
        <v>67</v>
      </c>
      <c r="E155" t="str">
        <f ca="1">TRIM(tbl_FamilyBackground[[#This Row],[father_job]])</f>
        <v>at_home</v>
      </c>
    </row>
    <row r="156" spans="1:5" x14ac:dyDescent="0.35">
      <c r="A156">
        <v>155</v>
      </c>
      <c r="B156" t="s">
        <v>62</v>
      </c>
      <c r="C156" t="s">
        <v>62</v>
      </c>
      <c r="D156" t="s">
        <v>27</v>
      </c>
      <c r="E156" t="str">
        <f ca="1">TRIM(tbl_FamilyBackground[[#This Row],[father_job]])</f>
        <v>teacher</v>
      </c>
    </row>
    <row r="157" spans="1:5" x14ac:dyDescent="0.35">
      <c r="A157">
        <v>156</v>
      </c>
      <c r="B157" t="s">
        <v>66</v>
      </c>
      <c r="C157" t="s">
        <v>68</v>
      </c>
      <c r="D157" t="s">
        <v>63</v>
      </c>
      <c r="E157" t="str">
        <f ca="1">TRIM(tbl_FamilyBackground[[#This Row],[father_job]])</f>
        <v>services</v>
      </c>
    </row>
    <row r="158" spans="1:5" x14ac:dyDescent="0.35">
      <c r="A158">
        <v>157</v>
      </c>
      <c r="B158" t="s">
        <v>65</v>
      </c>
      <c r="C158" t="s">
        <v>66</v>
      </c>
      <c r="D158" t="s">
        <v>27</v>
      </c>
      <c r="E158" t="str">
        <f ca="1">TRIM(tbl_FamilyBackground[[#This Row],[father_job]])</f>
        <v>other</v>
      </c>
    </row>
    <row r="159" spans="1:5" x14ac:dyDescent="0.35">
      <c r="A159">
        <v>158</v>
      </c>
      <c r="B159" t="s">
        <v>65</v>
      </c>
      <c r="C159" t="s">
        <v>65</v>
      </c>
      <c r="D159" t="s">
        <v>63</v>
      </c>
      <c r="E159" t="str">
        <f ca="1">TRIM(tbl_FamilyBackground[[#This Row],[father_job]])</f>
        <v>other</v>
      </c>
    </row>
    <row r="160" spans="1:5" x14ac:dyDescent="0.35">
      <c r="A160">
        <v>159</v>
      </c>
      <c r="B160" t="s">
        <v>66</v>
      </c>
      <c r="C160" t="s">
        <v>66</v>
      </c>
      <c r="D160" t="s">
        <v>63</v>
      </c>
      <c r="E160" t="str">
        <f ca="1">TRIM(tbl_FamilyBackground[[#This Row],[father_job]])</f>
        <v>other</v>
      </c>
    </row>
    <row r="161" spans="1:5" x14ac:dyDescent="0.35">
      <c r="A161">
        <v>160</v>
      </c>
      <c r="B161" t="s">
        <v>68</v>
      </c>
      <c r="C161" t="s">
        <v>68</v>
      </c>
      <c r="D161" t="s">
        <v>27</v>
      </c>
      <c r="E161" t="str">
        <f ca="1">TRIM(tbl_FamilyBackground[[#This Row],[father_job]])</f>
        <v>services</v>
      </c>
    </row>
    <row r="162" spans="1:5" x14ac:dyDescent="0.35">
      <c r="A162">
        <v>161</v>
      </c>
      <c r="B162" t="s">
        <v>66</v>
      </c>
      <c r="C162" t="s">
        <v>65</v>
      </c>
      <c r="D162" t="s">
        <v>63</v>
      </c>
      <c r="E162" t="str">
        <f ca="1">TRIM(tbl_FamilyBackground[[#This Row],[father_job]])</f>
        <v>other</v>
      </c>
    </row>
    <row r="163" spans="1:5" x14ac:dyDescent="0.35">
      <c r="A163">
        <v>162</v>
      </c>
      <c r="B163" t="s">
        <v>68</v>
      </c>
      <c r="C163" t="s">
        <v>66</v>
      </c>
      <c r="D163" t="s">
        <v>27</v>
      </c>
      <c r="E163" t="str">
        <f ca="1">TRIM(tbl_FamilyBackground[[#This Row],[father_job]])</f>
        <v>other</v>
      </c>
    </row>
    <row r="164" spans="1:5" x14ac:dyDescent="0.35">
      <c r="A164">
        <v>163</v>
      </c>
      <c r="B164" t="s">
        <v>65</v>
      </c>
      <c r="C164" t="s">
        <v>66</v>
      </c>
      <c r="D164" t="s">
        <v>27</v>
      </c>
      <c r="E164" t="str">
        <f ca="1">TRIM(tbl_FamilyBackground[[#This Row],[father_job]])</f>
        <v>other</v>
      </c>
    </row>
    <row r="165" spans="1:5" x14ac:dyDescent="0.35">
      <c r="A165">
        <v>164</v>
      </c>
      <c r="B165" t="s">
        <v>65</v>
      </c>
      <c r="C165" t="s">
        <v>68</v>
      </c>
      <c r="D165" t="s">
        <v>63</v>
      </c>
      <c r="E165" t="str">
        <f ca="1">TRIM(tbl_FamilyBackground[[#This Row],[father_job]])</f>
        <v>services</v>
      </c>
    </row>
    <row r="166" spans="1:5" x14ac:dyDescent="0.35">
      <c r="A166">
        <v>165</v>
      </c>
      <c r="B166" t="s">
        <v>65</v>
      </c>
      <c r="C166" t="s">
        <v>65</v>
      </c>
      <c r="D166" t="s">
        <v>27</v>
      </c>
      <c r="E166" t="str">
        <f ca="1">TRIM(tbl_FamilyBackground[[#This Row],[father_job]])</f>
        <v>services</v>
      </c>
    </row>
    <row r="167" spans="1:5" x14ac:dyDescent="0.35">
      <c r="A167">
        <v>166</v>
      </c>
      <c r="B167" t="s">
        <v>68</v>
      </c>
      <c r="C167" t="s">
        <v>66</v>
      </c>
      <c r="D167" t="s">
        <v>67</v>
      </c>
      <c r="E167" t="str">
        <f ca="1">TRIM(tbl_FamilyBackground[[#This Row],[father_job]])</f>
        <v>services</v>
      </c>
    </row>
    <row r="168" spans="1:5" x14ac:dyDescent="0.35">
      <c r="A168">
        <v>167</v>
      </c>
      <c r="B168" t="s">
        <v>66</v>
      </c>
      <c r="C168" t="s">
        <v>66</v>
      </c>
      <c r="D168" t="s">
        <v>27</v>
      </c>
      <c r="E168" t="str">
        <f ca="1">TRIM(tbl_FamilyBackground[[#This Row],[father_job]])</f>
        <v>other</v>
      </c>
    </row>
    <row r="169" spans="1:5" x14ac:dyDescent="0.35">
      <c r="A169">
        <v>168</v>
      </c>
      <c r="B169" t="s">
        <v>62</v>
      </c>
      <c r="C169" t="s">
        <v>66</v>
      </c>
      <c r="D169" t="s">
        <v>9</v>
      </c>
      <c r="E169" t="str">
        <f ca="1">TRIM(tbl_FamilyBackground[[#This Row],[father_job]])</f>
        <v>services</v>
      </c>
    </row>
    <row r="170" spans="1:5" x14ac:dyDescent="0.35">
      <c r="A170">
        <v>169</v>
      </c>
      <c r="B170" t="s">
        <v>66</v>
      </c>
      <c r="C170" t="s">
        <v>66</v>
      </c>
      <c r="D170" t="s">
        <v>27</v>
      </c>
      <c r="E170" t="str">
        <f ca="1">TRIM(tbl_FamilyBackground[[#This Row],[father_job]])</f>
        <v>other</v>
      </c>
    </row>
    <row r="171" spans="1:5" x14ac:dyDescent="0.35">
      <c r="A171">
        <v>170</v>
      </c>
      <c r="B171" t="s">
        <v>62</v>
      </c>
      <c r="C171" t="s">
        <v>62</v>
      </c>
      <c r="D171" t="s">
        <v>9</v>
      </c>
      <c r="E171" t="str">
        <f ca="1">TRIM(tbl_FamilyBackground[[#This Row],[father_job]])</f>
        <v>health</v>
      </c>
    </row>
    <row r="172" spans="1:5" x14ac:dyDescent="0.35">
      <c r="A172">
        <v>171</v>
      </c>
      <c r="B172" t="s">
        <v>68</v>
      </c>
      <c r="C172" t="s">
        <v>62</v>
      </c>
      <c r="D172" t="s">
        <v>27</v>
      </c>
      <c r="E172" t="str">
        <f ca="1">TRIM(tbl_FamilyBackground[[#This Row],[father_job]])</f>
        <v>other</v>
      </c>
    </row>
    <row r="173" spans="1:5" x14ac:dyDescent="0.35">
      <c r="A173">
        <v>172</v>
      </c>
      <c r="B173" t="s">
        <v>65</v>
      </c>
      <c r="C173" t="s">
        <v>69</v>
      </c>
      <c r="D173" t="s">
        <v>27</v>
      </c>
      <c r="E173" t="str">
        <f ca="1">TRIM(tbl_FamilyBackground[[#This Row],[father_job]])</f>
        <v>other</v>
      </c>
    </row>
    <row r="174" spans="1:5" x14ac:dyDescent="0.35">
      <c r="A174">
        <v>173</v>
      </c>
      <c r="B174" t="s">
        <v>62</v>
      </c>
      <c r="C174" t="s">
        <v>62</v>
      </c>
      <c r="D174" t="s">
        <v>64</v>
      </c>
      <c r="E174" t="str">
        <f ca="1">TRIM(tbl_FamilyBackground[[#This Row],[father_job]])</f>
        <v>other</v>
      </c>
    </row>
    <row r="175" spans="1:5" x14ac:dyDescent="0.35">
      <c r="A175">
        <v>174</v>
      </c>
      <c r="B175" t="s">
        <v>65</v>
      </c>
      <c r="C175" t="s">
        <v>68</v>
      </c>
      <c r="D175" t="s">
        <v>63</v>
      </c>
      <c r="E175" t="str">
        <f ca="1">TRIM(tbl_FamilyBackground[[#This Row],[father_job]])</f>
        <v>services</v>
      </c>
    </row>
    <row r="176" spans="1:5" x14ac:dyDescent="0.35">
      <c r="A176">
        <v>175</v>
      </c>
      <c r="B176" t="s">
        <v>68</v>
      </c>
      <c r="C176" t="s">
        <v>68</v>
      </c>
      <c r="D176" t="s">
        <v>27</v>
      </c>
      <c r="E176" t="str">
        <f ca="1">TRIM(tbl_FamilyBackground[[#This Row],[father_job]])</f>
        <v>other</v>
      </c>
    </row>
    <row r="177" spans="1:5" x14ac:dyDescent="0.35">
      <c r="A177">
        <v>176</v>
      </c>
      <c r="B177" t="s">
        <v>62</v>
      </c>
      <c r="C177" t="s">
        <v>68</v>
      </c>
      <c r="D177" t="s">
        <v>64</v>
      </c>
      <c r="E177" t="str">
        <f ca="1">TRIM(tbl_FamilyBackground[[#This Row],[father_job]])</f>
        <v>other</v>
      </c>
    </row>
    <row r="178" spans="1:5" x14ac:dyDescent="0.35">
      <c r="A178">
        <v>177</v>
      </c>
      <c r="B178" t="s">
        <v>66</v>
      </c>
      <c r="C178" t="s">
        <v>66</v>
      </c>
      <c r="D178" t="s">
        <v>67</v>
      </c>
      <c r="E178" t="str">
        <f ca="1">TRIM(tbl_FamilyBackground[[#This Row],[father_job]])</f>
        <v>other</v>
      </c>
    </row>
    <row r="179" spans="1:5" x14ac:dyDescent="0.35">
      <c r="A179">
        <v>178</v>
      </c>
      <c r="B179" t="s">
        <v>68</v>
      </c>
      <c r="C179" t="s">
        <v>68</v>
      </c>
      <c r="D179" t="s">
        <v>27</v>
      </c>
      <c r="E179" t="str">
        <f ca="1">TRIM(tbl_FamilyBackground[[#This Row],[father_job]])</f>
        <v>other</v>
      </c>
    </row>
    <row r="180" spans="1:5" x14ac:dyDescent="0.35">
      <c r="A180">
        <v>179</v>
      </c>
      <c r="B180" t="s">
        <v>62</v>
      </c>
      <c r="C180" t="s">
        <v>66</v>
      </c>
      <c r="D180" t="s">
        <v>64</v>
      </c>
      <c r="E180" t="str">
        <f ca="1">TRIM(tbl_FamilyBackground[[#This Row],[father_job]])</f>
        <v>services</v>
      </c>
    </row>
    <row r="181" spans="1:5" x14ac:dyDescent="0.35">
      <c r="A181">
        <v>180</v>
      </c>
      <c r="B181" t="s">
        <v>62</v>
      </c>
      <c r="C181" t="s">
        <v>68</v>
      </c>
      <c r="D181" t="s">
        <v>27</v>
      </c>
      <c r="E181" t="str">
        <f ca="1">TRIM(tbl_FamilyBackground[[#This Row],[father_job]])</f>
        <v>other</v>
      </c>
    </row>
    <row r="182" spans="1:5" x14ac:dyDescent="0.35">
      <c r="A182">
        <v>181</v>
      </c>
      <c r="B182" t="s">
        <v>62</v>
      </c>
      <c r="C182" t="s">
        <v>68</v>
      </c>
      <c r="D182" t="s">
        <v>64</v>
      </c>
      <c r="E182" t="str">
        <f ca="1">TRIM(tbl_FamilyBackground[[#This Row],[father_job]])</f>
        <v>other</v>
      </c>
    </row>
    <row r="183" spans="1:5" x14ac:dyDescent="0.35">
      <c r="A183">
        <v>182</v>
      </c>
      <c r="B183" t="s">
        <v>68</v>
      </c>
      <c r="C183" t="s">
        <v>68</v>
      </c>
      <c r="D183" t="s">
        <v>67</v>
      </c>
      <c r="E183" t="str">
        <f ca="1">TRIM(tbl_FamilyBackground[[#This Row],[father_job]])</f>
        <v>other</v>
      </c>
    </row>
    <row r="184" spans="1:5" x14ac:dyDescent="0.35">
      <c r="A184">
        <v>183</v>
      </c>
      <c r="B184" t="s">
        <v>66</v>
      </c>
      <c r="C184" t="s">
        <v>62</v>
      </c>
      <c r="D184" t="s">
        <v>67</v>
      </c>
      <c r="E184" t="str">
        <f ca="1">TRIM(tbl_FamilyBackground[[#This Row],[father_job]])</f>
        <v>services</v>
      </c>
    </row>
    <row r="185" spans="1:5" x14ac:dyDescent="0.35">
      <c r="A185">
        <v>184</v>
      </c>
      <c r="B185" t="s">
        <v>68</v>
      </c>
      <c r="C185" t="s">
        <v>68</v>
      </c>
      <c r="D185" t="s">
        <v>27</v>
      </c>
      <c r="E185" t="str">
        <f ca="1">TRIM(tbl_FamilyBackground[[#This Row],[father_job]])</f>
        <v>other</v>
      </c>
    </row>
    <row r="186" spans="1:5" x14ac:dyDescent="0.35">
      <c r="A186">
        <v>185</v>
      </c>
      <c r="B186" t="s">
        <v>68</v>
      </c>
      <c r="C186" t="s">
        <v>66</v>
      </c>
      <c r="D186" t="s">
        <v>27</v>
      </c>
      <c r="E186" t="str">
        <f ca="1">TRIM(tbl_FamilyBackground[[#This Row],[father_job]])</f>
        <v>other</v>
      </c>
    </row>
    <row r="187" spans="1:5" x14ac:dyDescent="0.35">
      <c r="A187">
        <v>186</v>
      </c>
      <c r="B187" t="s">
        <v>68</v>
      </c>
      <c r="C187" t="s">
        <v>68</v>
      </c>
      <c r="D187" t="s">
        <v>67</v>
      </c>
      <c r="E187" t="str">
        <f ca="1">TRIM(tbl_FamilyBackground[[#This Row],[father_job]])</f>
        <v>services</v>
      </c>
    </row>
    <row r="188" spans="1:5" x14ac:dyDescent="0.35">
      <c r="A188">
        <v>187</v>
      </c>
      <c r="B188" t="s">
        <v>65</v>
      </c>
      <c r="C188" t="s">
        <v>66</v>
      </c>
      <c r="D188" t="s">
        <v>67</v>
      </c>
      <c r="E188" t="str">
        <f ca="1">TRIM(tbl_FamilyBackground[[#This Row],[father_job]])</f>
        <v>services</v>
      </c>
    </row>
    <row r="189" spans="1:5" x14ac:dyDescent="0.35">
      <c r="A189">
        <v>188</v>
      </c>
      <c r="B189" t="s">
        <v>66</v>
      </c>
      <c r="C189" t="s">
        <v>65</v>
      </c>
      <c r="D189" t="s">
        <v>27</v>
      </c>
      <c r="E189" t="str">
        <f ca="1">TRIM(tbl_FamilyBackground[[#This Row],[father_job]])</f>
        <v>other</v>
      </c>
    </row>
    <row r="190" spans="1:5" x14ac:dyDescent="0.35">
      <c r="A190">
        <v>189</v>
      </c>
      <c r="B190" t="s">
        <v>68</v>
      </c>
      <c r="C190" t="s">
        <v>68</v>
      </c>
      <c r="D190" t="s">
        <v>9</v>
      </c>
      <c r="E190" t="str">
        <f ca="1">TRIM(tbl_FamilyBackground[[#This Row],[father_job]])</f>
        <v>other</v>
      </c>
    </row>
    <row r="191" spans="1:5" x14ac:dyDescent="0.35">
      <c r="A191">
        <v>190</v>
      </c>
      <c r="B191" t="s">
        <v>65</v>
      </c>
      <c r="C191" t="s">
        <v>66</v>
      </c>
      <c r="D191" t="s">
        <v>63</v>
      </c>
      <c r="E191" t="str">
        <f ca="1">TRIM(tbl_FamilyBackground[[#This Row],[father_job]])</f>
        <v>other</v>
      </c>
    </row>
    <row r="192" spans="1:5" x14ac:dyDescent="0.35">
      <c r="A192">
        <v>191</v>
      </c>
      <c r="B192" t="s">
        <v>66</v>
      </c>
      <c r="C192" t="s">
        <v>68</v>
      </c>
      <c r="D192" t="s">
        <v>67</v>
      </c>
      <c r="E192" t="str">
        <f ca="1">TRIM(tbl_FamilyBackground[[#This Row],[father_job]])</f>
        <v>services</v>
      </c>
    </row>
    <row r="193" spans="1:5" x14ac:dyDescent="0.35">
      <c r="A193">
        <v>192</v>
      </c>
      <c r="B193" t="s">
        <v>65</v>
      </c>
      <c r="C193" t="s">
        <v>65</v>
      </c>
      <c r="D193" t="s">
        <v>63</v>
      </c>
      <c r="E193" t="str">
        <f ca="1">TRIM(tbl_FamilyBackground[[#This Row],[father_job]])</f>
        <v>services</v>
      </c>
    </row>
    <row r="194" spans="1:5" x14ac:dyDescent="0.35">
      <c r="A194">
        <v>193</v>
      </c>
      <c r="B194" t="s">
        <v>65</v>
      </c>
      <c r="C194" t="s">
        <v>66</v>
      </c>
      <c r="D194" t="s">
        <v>63</v>
      </c>
      <c r="E194" t="str">
        <f ca="1">TRIM(tbl_FamilyBackground[[#This Row],[father_job]])</f>
        <v>services</v>
      </c>
    </row>
    <row r="195" spans="1:5" x14ac:dyDescent="0.35">
      <c r="A195">
        <v>194</v>
      </c>
      <c r="B195" t="s">
        <v>68</v>
      </c>
      <c r="C195" t="s">
        <v>68</v>
      </c>
      <c r="D195" t="s">
        <v>67</v>
      </c>
      <c r="E195" t="str">
        <f ca="1">TRIM(tbl_FamilyBackground[[#This Row],[father_job]])</f>
        <v>services</v>
      </c>
    </row>
    <row r="196" spans="1:5" x14ac:dyDescent="0.35">
      <c r="A196">
        <v>195</v>
      </c>
      <c r="B196" t="s">
        <v>66</v>
      </c>
      <c r="C196" t="s">
        <v>68</v>
      </c>
      <c r="D196" t="s">
        <v>27</v>
      </c>
      <c r="E196" t="str">
        <f ca="1">TRIM(tbl_FamilyBackground[[#This Row],[father_job]])</f>
        <v>other</v>
      </c>
    </row>
    <row r="197" spans="1:5" x14ac:dyDescent="0.35">
      <c r="A197">
        <v>196</v>
      </c>
      <c r="B197" t="s">
        <v>66</v>
      </c>
      <c r="C197" t="s">
        <v>62</v>
      </c>
      <c r="D197" t="s">
        <v>67</v>
      </c>
      <c r="E197" t="str">
        <f ca="1">TRIM(tbl_FamilyBackground[[#This Row],[father_job]])</f>
        <v>services</v>
      </c>
    </row>
    <row r="198" spans="1:5" x14ac:dyDescent="0.35">
      <c r="A198">
        <v>197</v>
      </c>
      <c r="B198" t="s">
        <v>62</v>
      </c>
      <c r="C198" t="s">
        <v>62</v>
      </c>
      <c r="D198" t="s">
        <v>67</v>
      </c>
      <c r="E198" t="str">
        <f ca="1">TRIM(tbl_FamilyBackground[[#This Row],[father_job]])</f>
        <v>teacher</v>
      </c>
    </row>
    <row r="199" spans="1:5" x14ac:dyDescent="0.35">
      <c r="A199">
        <v>198</v>
      </c>
      <c r="B199" t="s">
        <v>68</v>
      </c>
      <c r="C199" t="s">
        <v>68</v>
      </c>
      <c r="D199" t="s">
        <v>64</v>
      </c>
      <c r="E199" t="str">
        <f ca="1">TRIM(tbl_FamilyBackground[[#This Row],[father_job]])</f>
        <v>other</v>
      </c>
    </row>
    <row r="200" spans="1:5" x14ac:dyDescent="0.35">
      <c r="A200">
        <v>199</v>
      </c>
      <c r="B200" t="s">
        <v>62</v>
      </c>
      <c r="C200" t="s">
        <v>62</v>
      </c>
      <c r="D200" t="s">
        <v>67</v>
      </c>
      <c r="E200" t="str">
        <f ca="1">TRIM(tbl_FamilyBackground[[#This Row],[father_job]])</f>
        <v>teacher</v>
      </c>
    </row>
    <row r="201" spans="1:5" x14ac:dyDescent="0.35">
      <c r="A201">
        <v>200</v>
      </c>
      <c r="B201" t="s">
        <v>62</v>
      </c>
      <c r="C201" t="s">
        <v>62</v>
      </c>
      <c r="D201" t="s">
        <v>64</v>
      </c>
      <c r="E201" t="str">
        <f ca="1">TRIM(tbl_FamilyBackground[[#This Row],[father_job]])</f>
        <v>teacher</v>
      </c>
    </row>
    <row r="202" spans="1:5" x14ac:dyDescent="0.35">
      <c r="A202">
        <v>201</v>
      </c>
      <c r="B202" t="s">
        <v>62</v>
      </c>
      <c r="C202" t="s">
        <v>68</v>
      </c>
      <c r="D202" t="s">
        <v>9</v>
      </c>
      <c r="E202" t="str">
        <f ca="1">TRIM(tbl_FamilyBackground[[#This Row],[father_job]])</f>
        <v>other</v>
      </c>
    </row>
    <row r="203" spans="1:5" x14ac:dyDescent="0.35">
      <c r="A203">
        <v>202</v>
      </c>
      <c r="B203" t="s">
        <v>66</v>
      </c>
      <c r="C203" t="s">
        <v>68</v>
      </c>
      <c r="D203" t="s">
        <v>27</v>
      </c>
      <c r="E203" t="str">
        <f ca="1">TRIM(tbl_FamilyBackground[[#This Row],[father_job]])</f>
        <v>other</v>
      </c>
    </row>
    <row r="204" spans="1:5" x14ac:dyDescent="0.35">
      <c r="A204">
        <v>203</v>
      </c>
      <c r="B204" t="s">
        <v>65</v>
      </c>
      <c r="C204" t="s">
        <v>65</v>
      </c>
      <c r="D204" t="s">
        <v>27</v>
      </c>
      <c r="E204" t="str">
        <f ca="1">TRIM(tbl_FamilyBackground[[#This Row],[father_job]])</f>
        <v>other</v>
      </c>
    </row>
    <row r="205" spans="1:5" x14ac:dyDescent="0.35">
      <c r="A205">
        <v>204</v>
      </c>
      <c r="B205" t="s">
        <v>66</v>
      </c>
      <c r="C205" t="s">
        <v>66</v>
      </c>
      <c r="D205" t="s">
        <v>27</v>
      </c>
      <c r="E205" t="str">
        <f ca="1">TRIM(tbl_FamilyBackground[[#This Row],[father_job]])</f>
        <v>other</v>
      </c>
    </row>
    <row r="206" spans="1:5" x14ac:dyDescent="0.35">
      <c r="A206">
        <v>205</v>
      </c>
      <c r="B206" t="s">
        <v>66</v>
      </c>
      <c r="C206" t="s">
        <v>66</v>
      </c>
      <c r="D206" t="s">
        <v>67</v>
      </c>
      <c r="E206" t="str">
        <f ca="1">TRIM(tbl_FamilyBackground[[#This Row],[father_job]])</f>
        <v>services</v>
      </c>
    </row>
    <row r="207" spans="1:5" x14ac:dyDescent="0.35">
      <c r="A207">
        <v>206</v>
      </c>
      <c r="B207" t="s">
        <v>68</v>
      </c>
      <c r="C207" t="s">
        <v>62</v>
      </c>
      <c r="D207" t="s">
        <v>63</v>
      </c>
      <c r="E207" t="str">
        <f ca="1">TRIM(tbl_FamilyBackground[[#This Row],[father_job]])</f>
        <v>services</v>
      </c>
    </row>
    <row r="208" spans="1:5" x14ac:dyDescent="0.35">
      <c r="A208">
        <v>207</v>
      </c>
      <c r="B208" t="s">
        <v>68</v>
      </c>
      <c r="C208" t="s">
        <v>65</v>
      </c>
      <c r="D208" t="s">
        <v>67</v>
      </c>
      <c r="E208" t="str">
        <f ca="1">TRIM(tbl_FamilyBackground[[#This Row],[father_job]])</f>
        <v>other</v>
      </c>
    </row>
    <row r="209" spans="1:5" x14ac:dyDescent="0.35">
      <c r="A209">
        <v>208</v>
      </c>
      <c r="B209" t="s">
        <v>62</v>
      </c>
      <c r="C209" t="s">
        <v>68</v>
      </c>
      <c r="D209" t="s">
        <v>64</v>
      </c>
      <c r="E209" t="str">
        <f ca="1">TRIM(tbl_FamilyBackground[[#This Row],[father_job]])</f>
        <v>other</v>
      </c>
    </row>
    <row r="210" spans="1:5" x14ac:dyDescent="0.35">
      <c r="A210">
        <v>209</v>
      </c>
      <c r="B210" t="s">
        <v>65</v>
      </c>
      <c r="C210" t="s">
        <v>65</v>
      </c>
      <c r="D210" t="s">
        <v>63</v>
      </c>
      <c r="E210" t="str">
        <f ca="1">TRIM(tbl_FamilyBackground[[#This Row],[father_job]])</f>
        <v>other</v>
      </c>
    </row>
    <row r="211" spans="1:5" x14ac:dyDescent="0.35">
      <c r="A211">
        <v>210</v>
      </c>
      <c r="B211" t="s">
        <v>62</v>
      </c>
      <c r="C211" t="s">
        <v>68</v>
      </c>
      <c r="D211" t="s">
        <v>64</v>
      </c>
      <c r="E211" t="str">
        <f ca="1">TRIM(tbl_FamilyBackground[[#This Row],[father_job]])</f>
        <v>other</v>
      </c>
    </row>
    <row r="212" spans="1:5" x14ac:dyDescent="0.35">
      <c r="A212">
        <v>211</v>
      </c>
      <c r="B212" t="s">
        <v>68</v>
      </c>
      <c r="C212" t="s">
        <v>68</v>
      </c>
      <c r="D212" t="s">
        <v>27</v>
      </c>
      <c r="E212" t="str">
        <f ca="1">TRIM(tbl_FamilyBackground[[#This Row],[father_job]])</f>
        <v>other</v>
      </c>
    </row>
    <row r="213" spans="1:5" x14ac:dyDescent="0.35">
      <c r="A213">
        <v>212</v>
      </c>
      <c r="B213" t="s">
        <v>62</v>
      </c>
      <c r="C213" t="s">
        <v>62</v>
      </c>
      <c r="D213" t="s">
        <v>67</v>
      </c>
      <c r="E213" t="str">
        <f ca="1">TRIM(tbl_FamilyBackground[[#This Row],[father_job]])</f>
        <v>other</v>
      </c>
    </row>
    <row r="214" spans="1:5" x14ac:dyDescent="0.35">
      <c r="A214">
        <v>213</v>
      </c>
      <c r="B214" t="s">
        <v>66</v>
      </c>
      <c r="C214" t="s">
        <v>66</v>
      </c>
      <c r="D214" t="s">
        <v>27</v>
      </c>
      <c r="E214" t="str">
        <f ca="1">TRIM(tbl_FamilyBackground[[#This Row],[father_job]])</f>
        <v>other</v>
      </c>
    </row>
    <row r="215" spans="1:5" x14ac:dyDescent="0.35">
      <c r="A215">
        <v>214</v>
      </c>
      <c r="B215" t="s">
        <v>66</v>
      </c>
      <c r="C215" t="s">
        <v>66</v>
      </c>
      <c r="D215" t="s">
        <v>67</v>
      </c>
      <c r="E215" t="str">
        <f ca="1">TRIM(tbl_FamilyBackground[[#This Row],[father_job]])</f>
        <v>other</v>
      </c>
    </row>
    <row r="216" spans="1:5" x14ac:dyDescent="0.35">
      <c r="A216">
        <v>215</v>
      </c>
      <c r="B216" t="s">
        <v>62</v>
      </c>
      <c r="C216" t="s">
        <v>62</v>
      </c>
      <c r="D216" t="s">
        <v>67</v>
      </c>
      <c r="E216" t="str">
        <f ca="1">TRIM(tbl_FamilyBackground[[#This Row],[father_job]])</f>
        <v>other</v>
      </c>
    </row>
    <row r="217" spans="1:5" x14ac:dyDescent="0.35">
      <c r="A217">
        <v>216</v>
      </c>
      <c r="B217" t="s">
        <v>68</v>
      </c>
      <c r="C217" t="s">
        <v>66</v>
      </c>
      <c r="D217" t="s">
        <v>27</v>
      </c>
      <c r="E217" t="str">
        <f ca="1">TRIM(tbl_FamilyBackground[[#This Row],[father_job]])</f>
        <v>other</v>
      </c>
    </row>
    <row r="218" spans="1:5" x14ac:dyDescent="0.35">
      <c r="A218">
        <v>217</v>
      </c>
      <c r="B218" t="s">
        <v>62</v>
      </c>
      <c r="C218" t="s">
        <v>68</v>
      </c>
      <c r="D218" t="s">
        <v>27</v>
      </c>
      <c r="E218" t="str">
        <f ca="1">TRIM(tbl_FamilyBackground[[#This Row],[father_job]])</f>
        <v>other</v>
      </c>
    </row>
    <row r="219" spans="1:5" x14ac:dyDescent="0.35">
      <c r="A219">
        <v>218</v>
      </c>
      <c r="B219" t="s">
        <v>68</v>
      </c>
      <c r="C219" t="s">
        <v>68</v>
      </c>
      <c r="D219" t="s">
        <v>67</v>
      </c>
      <c r="E219" t="str">
        <f ca="1">TRIM(tbl_FamilyBackground[[#This Row],[father_job]])</f>
        <v>health</v>
      </c>
    </row>
    <row r="220" spans="1:5" x14ac:dyDescent="0.35">
      <c r="A220">
        <v>219</v>
      </c>
      <c r="B220" t="s">
        <v>66</v>
      </c>
      <c r="C220" t="s">
        <v>68</v>
      </c>
      <c r="D220" t="s">
        <v>63</v>
      </c>
      <c r="E220" t="str">
        <f ca="1">TRIM(tbl_FamilyBackground[[#This Row],[father_job]])</f>
        <v>other</v>
      </c>
    </row>
    <row r="221" spans="1:5" x14ac:dyDescent="0.35">
      <c r="A221">
        <v>220</v>
      </c>
      <c r="B221" t="s">
        <v>66</v>
      </c>
      <c r="C221" t="s">
        <v>66</v>
      </c>
      <c r="D221" t="s">
        <v>63</v>
      </c>
      <c r="E221" t="str">
        <f ca="1">TRIM(tbl_FamilyBackground[[#This Row],[father_job]])</f>
        <v>at_home</v>
      </c>
    </row>
    <row r="222" spans="1:5" x14ac:dyDescent="0.35">
      <c r="A222">
        <v>221</v>
      </c>
      <c r="B222" t="s">
        <v>66</v>
      </c>
      <c r="C222" t="s">
        <v>65</v>
      </c>
      <c r="D222" t="s">
        <v>63</v>
      </c>
      <c r="E222" t="str">
        <f ca="1">TRIM(tbl_FamilyBackground[[#This Row],[father_job]])</f>
        <v>services</v>
      </c>
    </row>
    <row r="223" spans="1:5" x14ac:dyDescent="0.35">
      <c r="A223">
        <v>222</v>
      </c>
      <c r="B223" t="s">
        <v>65</v>
      </c>
      <c r="C223" t="s">
        <v>65</v>
      </c>
      <c r="D223" t="s">
        <v>63</v>
      </c>
      <c r="E223" t="str">
        <f ca="1">TRIM(tbl_FamilyBackground[[#This Row],[father_job]])</f>
        <v>other</v>
      </c>
    </row>
    <row r="224" spans="1:5" x14ac:dyDescent="0.35">
      <c r="A224">
        <v>223</v>
      </c>
      <c r="B224" t="s">
        <v>66</v>
      </c>
      <c r="C224" t="s">
        <v>68</v>
      </c>
      <c r="D224" t="s">
        <v>67</v>
      </c>
      <c r="E224" t="str">
        <f ca="1">TRIM(tbl_FamilyBackground[[#This Row],[father_job]])</f>
        <v>teacher</v>
      </c>
    </row>
    <row r="225" spans="1:5" x14ac:dyDescent="0.35">
      <c r="A225">
        <v>224</v>
      </c>
      <c r="B225" t="s">
        <v>66</v>
      </c>
      <c r="C225" t="s">
        <v>66</v>
      </c>
      <c r="D225" t="s">
        <v>27</v>
      </c>
      <c r="E225" t="str">
        <f ca="1">TRIM(tbl_FamilyBackground[[#This Row],[father_job]])</f>
        <v>other</v>
      </c>
    </row>
    <row r="226" spans="1:5" x14ac:dyDescent="0.35">
      <c r="A226">
        <v>225</v>
      </c>
      <c r="B226" t="s">
        <v>62</v>
      </c>
      <c r="C226" t="s">
        <v>62</v>
      </c>
      <c r="D226" t="s">
        <v>64</v>
      </c>
      <c r="E226" t="str">
        <f ca="1">TRIM(tbl_FamilyBackground[[#This Row],[father_job]])</f>
        <v>services</v>
      </c>
    </row>
    <row r="227" spans="1:5" x14ac:dyDescent="0.35">
      <c r="A227">
        <v>226</v>
      </c>
      <c r="B227" t="s">
        <v>68</v>
      </c>
      <c r="C227" t="s">
        <v>65</v>
      </c>
      <c r="D227" t="s">
        <v>27</v>
      </c>
      <c r="E227" t="str">
        <f ca="1">TRIM(tbl_FamilyBackground[[#This Row],[father_job]])</f>
        <v>other</v>
      </c>
    </row>
    <row r="228" spans="1:5" x14ac:dyDescent="0.35">
      <c r="A228">
        <v>227</v>
      </c>
      <c r="B228" t="s">
        <v>68</v>
      </c>
      <c r="C228" t="s">
        <v>66</v>
      </c>
      <c r="D228" t="s">
        <v>27</v>
      </c>
      <c r="E228" t="str">
        <f ca="1">TRIM(tbl_FamilyBackground[[#This Row],[father_job]])</f>
        <v>other</v>
      </c>
    </row>
    <row r="229" spans="1:5" x14ac:dyDescent="0.35">
      <c r="A229">
        <v>228</v>
      </c>
      <c r="B229" t="s">
        <v>66</v>
      </c>
      <c r="C229" t="s">
        <v>68</v>
      </c>
      <c r="D229" t="s">
        <v>67</v>
      </c>
      <c r="E229" t="str">
        <f ca="1">TRIM(tbl_FamilyBackground[[#This Row],[father_job]])</f>
        <v>services</v>
      </c>
    </row>
    <row r="230" spans="1:5" x14ac:dyDescent="0.35">
      <c r="A230">
        <v>229</v>
      </c>
      <c r="B230" t="s">
        <v>66</v>
      </c>
      <c r="C230" t="s">
        <v>65</v>
      </c>
      <c r="D230" t="s">
        <v>63</v>
      </c>
      <c r="E230" t="str">
        <f ca="1">TRIM(tbl_FamilyBackground[[#This Row],[father_job]])</f>
        <v>other</v>
      </c>
    </row>
    <row r="231" spans="1:5" x14ac:dyDescent="0.35">
      <c r="A231">
        <v>230</v>
      </c>
      <c r="B231" t="s">
        <v>66</v>
      </c>
      <c r="C231" t="s">
        <v>65</v>
      </c>
      <c r="D231" t="s">
        <v>27</v>
      </c>
      <c r="E231" t="str">
        <f ca="1">TRIM(tbl_FamilyBackground[[#This Row],[father_job]])</f>
        <v>other</v>
      </c>
    </row>
    <row r="232" spans="1:5" x14ac:dyDescent="0.35">
      <c r="A232">
        <v>231</v>
      </c>
      <c r="B232" t="s">
        <v>62</v>
      </c>
      <c r="C232" t="s">
        <v>68</v>
      </c>
      <c r="D232" t="s">
        <v>9</v>
      </c>
      <c r="E232" t="str">
        <f ca="1">TRIM(tbl_FamilyBackground[[#This Row],[father_job]])</f>
        <v>other</v>
      </c>
    </row>
    <row r="233" spans="1:5" x14ac:dyDescent="0.35">
      <c r="A233">
        <v>232</v>
      </c>
      <c r="B233" t="s">
        <v>66</v>
      </c>
      <c r="C233" t="s">
        <v>66</v>
      </c>
      <c r="D233" t="s">
        <v>27</v>
      </c>
      <c r="E233" t="str">
        <f ca="1">TRIM(tbl_FamilyBackground[[#This Row],[father_job]])</f>
        <v>other</v>
      </c>
    </row>
    <row r="234" spans="1:5" x14ac:dyDescent="0.35">
      <c r="A234">
        <v>233</v>
      </c>
      <c r="B234" t="s">
        <v>62</v>
      </c>
      <c r="C234" t="s">
        <v>62</v>
      </c>
      <c r="D234" t="s">
        <v>64</v>
      </c>
      <c r="E234" t="str">
        <f ca="1">TRIM(tbl_FamilyBackground[[#This Row],[father_job]])</f>
        <v>teacher</v>
      </c>
    </row>
    <row r="235" spans="1:5" x14ac:dyDescent="0.35">
      <c r="A235">
        <v>234</v>
      </c>
      <c r="B235" t="s">
        <v>62</v>
      </c>
      <c r="C235" t="s">
        <v>62</v>
      </c>
      <c r="D235" t="s">
        <v>9</v>
      </c>
      <c r="E235" t="str">
        <f ca="1">TRIM(tbl_FamilyBackground[[#This Row],[father_job]])</f>
        <v>other</v>
      </c>
    </row>
    <row r="236" spans="1:5" x14ac:dyDescent="0.35">
      <c r="A236">
        <v>235</v>
      </c>
      <c r="B236" t="s">
        <v>65</v>
      </c>
      <c r="C236" t="s">
        <v>65</v>
      </c>
      <c r="D236" t="s">
        <v>27</v>
      </c>
      <c r="E236" t="str">
        <f ca="1">TRIM(tbl_FamilyBackground[[#This Row],[father_job]])</f>
        <v>other</v>
      </c>
    </row>
    <row r="237" spans="1:5" x14ac:dyDescent="0.35">
      <c r="A237">
        <v>236</v>
      </c>
      <c r="B237" t="s">
        <v>68</v>
      </c>
      <c r="C237" t="s">
        <v>66</v>
      </c>
      <c r="D237" t="s">
        <v>63</v>
      </c>
      <c r="E237" t="str">
        <f ca="1">TRIM(tbl_FamilyBackground[[#This Row],[father_job]])</f>
        <v>other</v>
      </c>
    </row>
    <row r="238" spans="1:5" x14ac:dyDescent="0.35">
      <c r="A238">
        <v>237</v>
      </c>
      <c r="B238" t="s">
        <v>66</v>
      </c>
      <c r="C238" t="s">
        <v>66</v>
      </c>
      <c r="D238" t="s">
        <v>27</v>
      </c>
      <c r="E238" t="str">
        <f ca="1">TRIM(tbl_FamilyBackground[[#This Row],[father_job]])</f>
        <v>other</v>
      </c>
    </row>
    <row r="239" spans="1:5" x14ac:dyDescent="0.35">
      <c r="A239">
        <v>238</v>
      </c>
      <c r="B239" t="s">
        <v>66</v>
      </c>
      <c r="C239" t="s">
        <v>65</v>
      </c>
      <c r="D239" t="s">
        <v>27</v>
      </c>
      <c r="E239" t="str">
        <f ca="1">TRIM(tbl_FamilyBackground[[#This Row],[father_job]])</f>
        <v>other</v>
      </c>
    </row>
    <row r="240" spans="1:5" x14ac:dyDescent="0.35">
      <c r="A240">
        <v>239</v>
      </c>
      <c r="B240" t="s">
        <v>66</v>
      </c>
      <c r="C240" t="s">
        <v>65</v>
      </c>
      <c r="D240" t="s">
        <v>63</v>
      </c>
      <c r="E240" t="str">
        <f ca="1">TRIM(tbl_FamilyBackground[[#This Row],[father_job]])</f>
        <v>services</v>
      </c>
    </row>
    <row r="241" spans="1:5" x14ac:dyDescent="0.35">
      <c r="A241">
        <v>240</v>
      </c>
      <c r="B241" t="s">
        <v>66</v>
      </c>
      <c r="C241" t="s">
        <v>66</v>
      </c>
      <c r="D241" t="s">
        <v>27</v>
      </c>
      <c r="E241" t="str">
        <f ca="1">TRIM(tbl_FamilyBackground[[#This Row],[father_job]])</f>
        <v>services</v>
      </c>
    </row>
    <row r="242" spans="1:5" x14ac:dyDescent="0.35">
      <c r="A242">
        <v>241</v>
      </c>
      <c r="B242" t="s">
        <v>62</v>
      </c>
      <c r="C242" t="s">
        <v>68</v>
      </c>
      <c r="D242" t="s">
        <v>9</v>
      </c>
      <c r="E242" t="str">
        <f ca="1">TRIM(tbl_FamilyBackground[[#This Row],[father_job]])</f>
        <v>other</v>
      </c>
    </row>
    <row r="243" spans="1:5" x14ac:dyDescent="0.35">
      <c r="A243">
        <v>242</v>
      </c>
      <c r="B243" t="s">
        <v>62</v>
      </c>
      <c r="C243" t="s">
        <v>62</v>
      </c>
      <c r="D243" t="s">
        <v>64</v>
      </c>
      <c r="E243" t="str">
        <f ca="1">TRIM(tbl_FamilyBackground[[#This Row],[father_job]])</f>
        <v>other</v>
      </c>
    </row>
    <row r="244" spans="1:5" x14ac:dyDescent="0.35">
      <c r="A244">
        <v>243</v>
      </c>
      <c r="B244" t="s">
        <v>62</v>
      </c>
      <c r="C244" t="s">
        <v>68</v>
      </c>
      <c r="D244" t="s">
        <v>64</v>
      </c>
      <c r="E244" t="str">
        <f ca="1">TRIM(tbl_FamilyBackground[[#This Row],[father_job]])</f>
        <v>other</v>
      </c>
    </row>
    <row r="245" spans="1:5" x14ac:dyDescent="0.35">
      <c r="A245">
        <v>244</v>
      </c>
      <c r="B245" t="s">
        <v>62</v>
      </c>
      <c r="C245" t="s">
        <v>62</v>
      </c>
      <c r="D245" t="s">
        <v>67</v>
      </c>
      <c r="E245" t="str">
        <f ca="1">TRIM(tbl_FamilyBackground[[#This Row],[father_job]])</f>
        <v>services</v>
      </c>
    </row>
    <row r="246" spans="1:5" x14ac:dyDescent="0.35">
      <c r="A246">
        <v>245</v>
      </c>
      <c r="B246" t="s">
        <v>66</v>
      </c>
      <c r="C246" t="s">
        <v>65</v>
      </c>
      <c r="D246" t="s">
        <v>27</v>
      </c>
      <c r="E246" t="str">
        <f ca="1">TRIM(tbl_FamilyBackground[[#This Row],[father_job]])</f>
        <v>other</v>
      </c>
    </row>
    <row r="247" spans="1:5" x14ac:dyDescent="0.35">
      <c r="A247">
        <v>246</v>
      </c>
      <c r="B247" t="s">
        <v>66</v>
      </c>
      <c r="C247" t="s">
        <v>65</v>
      </c>
      <c r="D247" t="s">
        <v>27</v>
      </c>
      <c r="E247" t="str">
        <f ca="1">TRIM(tbl_FamilyBackground[[#This Row],[father_job]])</f>
        <v>other</v>
      </c>
    </row>
    <row r="248" spans="1:5" x14ac:dyDescent="0.35">
      <c r="A248">
        <v>247</v>
      </c>
      <c r="B248" t="s">
        <v>66</v>
      </c>
      <c r="C248" t="s">
        <v>68</v>
      </c>
      <c r="D248" t="s">
        <v>27</v>
      </c>
      <c r="E248" t="str">
        <f ca="1">TRIM(tbl_FamilyBackground[[#This Row],[father_job]])</f>
        <v>other</v>
      </c>
    </row>
    <row r="249" spans="1:5" x14ac:dyDescent="0.35">
      <c r="A249">
        <v>248</v>
      </c>
      <c r="B249" t="s">
        <v>68</v>
      </c>
      <c r="C249" t="s">
        <v>65</v>
      </c>
      <c r="D249" t="s">
        <v>67</v>
      </c>
      <c r="E249" t="str">
        <f ca="1">TRIM(tbl_FamilyBackground[[#This Row],[father_job]])</f>
        <v>services</v>
      </c>
    </row>
    <row r="250" spans="1:5" x14ac:dyDescent="0.35">
      <c r="A250">
        <v>249</v>
      </c>
      <c r="B250" t="s">
        <v>68</v>
      </c>
      <c r="C250" t="s">
        <v>68</v>
      </c>
      <c r="D250" t="s">
        <v>27</v>
      </c>
      <c r="E250" t="str">
        <f ca="1">TRIM(tbl_FamilyBackground[[#This Row],[father_job]])</f>
        <v>services</v>
      </c>
    </row>
    <row r="251" spans="1:5" x14ac:dyDescent="0.35">
      <c r="A251">
        <v>250</v>
      </c>
      <c r="B251" t="s">
        <v>69</v>
      </c>
      <c r="C251" t="s">
        <v>66</v>
      </c>
      <c r="D251" t="s">
        <v>27</v>
      </c>
      <c r="E251" t="str">
        <f ca="1">TRIM(tbl_FamilyBackground[[#This Row],[father_job]])</f>
        <v>other</v>
      </c>
    </row>
    <row r="252" spans="1:5" x14ac:dyDescent="0.35">
      <c r="A252">
        <v>251</v>
      </c>
      <c r="B252" t="s">
        <v>68</v>
      </c>
      <c r="C252" t="s">
        <v>66</v>
      </c>
      <c r="D252" t="s">
        <v>67</v>
      </c>
      <c r="E252" t="str">
        <f ca="1">TRIM(tbl_FamilyBackground[[#This Row],[father_job]])</f>
        <v>other</v>
      </c>
    </row>
    <row r="253" spans="1:5" x14ac:dyDescent="0.35">
      <c r="A253">
        <v>252</v>
      </c>
      <c r="B253" t="s">
        <v>68</v>
      </c>
      <c r="C253" t="s">
        <v>68</v>
      </c>
      <c r="D253" t="s">
        <v>63</v>
      </c>
      <c r="E253" t="str">
        <f ca="1">TRIM(tbl_FamilyBackground[[#This Row],[father_job]])</f>
        <v>other</v>
      </c>
    </row>
    <row r="254" spans="1:5" x14ac:dyDescent="0.35">
      <c r="A254">
        <v>253</v>
      </c>
      <c r="B254" t="s">
        <v>66</v>
      </c>
      <c r="C254" t="s">
        <v>65</v>
      </c>
      <c r="D254" t="s">
        <v>67</v>
      </c>
      <c r="E254" t="str">
        <f ca="1">TRIM(tbl_FamilyBackground[[#This Row],[father_job]])</f>
        <v>services</v>
      </c>
    </row>
    <row r="255" spans="1:5" x14ac:dyDescent="0.35">
      <c r="A255">
        <v>254</v>
      </c>
      <c r="B255" t="s">
        <v>66</v>
      </c>
      <c r="C255" t="s">
        <v>65</v>
      </c>
      <c r="D255" t="s">
        <v>27</v>
      </c>
      <c r="E255" t="str">
        <f ca="1">TRIM(tbl_FamilyBackground[[#This Row],[father_job]])</f>
        <v>other</v>
      </c>
    </row>
    <row r="256" spans="1:5" x14ac:dyDescent="0.35">
      <c r="A256">
        <v>255</v>
      </c>
      <c r="B256" t="s">
        <v>66</v>
      </c>
      <c r="C256" t="s">
        <v>65</v>
      </c>
      <c r="D256" t="s">
        <v>27</v>
      </c>
      <c r="E256" t="str">
        <f ca="1">TRIM(tbl_FamilyBackground[[#This Row],[father_job]])</f>
        <v>other</v>
      </c>
    </row>
    <row r="257" spans="1:5" x14ac:dyDescent="0.35">
      <c r="A257">
        <v>256</v>
      </c>
      <c r="B257" t="s">
        <v>65</v>
      </c>
      <c r="C257" t="s">
        <v>65</v>
      </c>
      <c r="D257" t="s">
        <v>9</v>
      </c>
      <c r="E257" t="str">
        <f ca="1">TRIM(tbl_FamilyBackground[[#This Row],[father_job]])</f>
        <v>other</v>
      </c>
    </row>
    <row r="258" spans="1:5" x14ac:dyDescent="0.35">
      <c r="A258">
        <v>257</v>
      </c>
      <c r="B258" t="s">
        <v>62</v>
      </c>
      <c r="C258" t="s">
        <v>66</v>
      </c>
      <c r="D258" t="s">
        <v>64</v>
      </c>
      <c r="E258" t="str">
        <f ca="1">TRIM(tbl_FamilyBackground[[#This Row],[father_job]])</f>
        <v>services</v>
      </c>
    </row>
    <row r="259" spans="1:5" x14ac:dyDescent="0.35">
      <c r="A259">
        <v>258</v>
      </c>
      <c r="B259" t="s">
        <v>62</v>
      </c>
      <c r="C259" t="s">
        <v>68</v>
      </c>
      <c r="D259" t="s">
        <v>67</v>
      </c>
      <c r="E259" t="str">
        <f ca="1">TRIM(tbl_FamilyBackground[[#This Row],[father_job]])</f>
        <v>at_home</v>
      </c>
    </row>
    <row r="260" spans="1:5" x14ac:dyDescent="0.35">
      <c r="A260">
        <v>259</v>
      </c>
      <c r="B260" t="s">
        <v>66</v>
      </c>
      <c r="C260" t="s">
        <v>65</v>
      </c>
      <c r="D260" t="s">
        <v>27</v>
      </c>
      <c r="E260" t="str">
        <f ca="1">TRIM(tbl_FamilyBackground[[#This Row],[father_job]])</f>
        <v>other</v>
      </c>
    </row>
    <row r="261" spans="1:5" x14ac:dyDescent="0.35">
      <c r="A261">
        <v>260</v>
      </c>
      <c r="B261" t="s">
        <v>66</v>
      </c>
      <c r="C261" t="s">
        <v>66</v>
      </c>
      <c r="D261" t="s">
        <v>67</v>
      </c>
      <c r="E261" t="str">
        <f ca="1">TRIM(tbl_FamilyBackground[[#This Row],[father_job]])</f>
        <v>services</v>
      </c>
    </row>
    <row r="262" spans="1:5" x14ac:dyDescent="0.35">
      <c r="A262">
        <v>261</v>
      </c>
      <c r="B262" t="s">
        <v>62</v>
      </c>
      <c r="C262" t="s">
        <v>68</v>
      </c>
      <c r="D262" t="s">
        <v>67</v>
      </c>
      <c r="E262" t="str">
        <f ca="1">TRIM(tbl_FamilyBackground[[#This Row],[father_job]])</f>
        <v>other</v>
      </c>
    </row>
    <row r="263" spans="1:5" x14ac:dyDescent="0.35">
      <c r="A263">
        <v>262</v>
      </c>
      <c r="B263" t="s">
        <v>62</v>
      </c>
      <c r="C263" t="s">
        <v>68</v>
      </c>
      <c r="D263" t="s">
        <v>64</v>
      </c>
      <c r="E263" t="str">
        <f ca="1">TRIM(tbl_FamilyBackground[[#This Row],[father_job]])</f>
        <v>other</v>
      </c>
    </row>
    <row r="264" spans="1:5" x14ac:dyDescent="0.35">
      <c r="A264">
        <v>263</v>
      </c>
      <c r="B264" t="s">
        <v>68</v>
      </c>
      <c r="C264" t="s">
        <v>66</v>
      </c>
      <c r="D264" t="s">
        <v>27</v>
      </c>
      <c r="E264" t="str">
        <f ca="1">TRIM(tbl_FamilyBackground[[#This Row],[father_job]])</f>
        <v>other</v>
      </c>
    </row>
    <row r="265" spans="1:5" x14ac:dyDescent="0.35">
      <c r="A265">
        <v>264</v>
      </c>
      <c r="B265" t="s">
        <v>68</v>
      </c>
      <c r="C265" t="s">
        <v>68</v>
      </c>
      <c r="D265" t="s">
        <v>27</v>
      </c>
      <c r="E265" t="str">
        <f ca="1">TRIM(tbl_FamilyBackground[[#This Row],[father_job]])</f>
        <v>other</v>
      </c>
    </row>
    <row r="266" spans="1:5" x14ac:dyDescent="0.35">
      <c r="A266">
        <v>265</v>
      </c>
      <c r="B266" t="s">
        <v>66</v>
      </c>
      <c r="C266" t="s">
        <v>66</v>
      </c>
      <c r="D266" t="s">
        <v>63</v>
      </c>
      <c r="E266" t="str">
        <f ca="1">TRIM(tbl_FamilyBackground[[#This Row],[father_job]])</f>
        <v>services</v>
      </c>
    </row>
    <row r="267" spans="1:5" x14ac:dyDescent="0.35">
      <c r="A267">
        <v>266</v>
      </c>
      <c r="B267" t="s">
        <v>68</v>
      </c>
      <c r="C267" t="s">
        <v>62</v>
      </c>
      <c r="D267" t="s">
        <v>27</v>
      </c>
      <c r="E267" t="str">
        <f ca="1">TRIM(tbl_FamilyBackground[[#This Row],[father_job]])</f>
        <v>other</v>
      </c>
    </row>
    <row r="268" spans="1:5" x14ac:dyDescent="0.35">
      <c r="A268">
        <v>267</v>
      </c>
      <c r="B268" t="s">
        <v>68</v>
      </c>
      <c r="C268" t="s">
        <v>65</v>
      </c>
      <c r="D268" t="s">
        <v>67</v>
      </c>
      <c r="E268" t="str">
        <f ca="1">TRIM(tbl_FamilyBackground[[#This Row],[father_job]])</f>
        <v>other</v>
      </c>
    </row>
    <row r="269" spans="1:5" x14ac:dyDescent="0.35">
      <c r="A269">
        <v>268</v>
      </c>
      <c r="B269" t="s">
        <v>62</v>
      </c>
      <c r="C269" t="s">
        <v>62</v>
      </c>
      <c r="D269" t="s">
        <v>64</v>
      </c>
      <c r="E269" t="str">
        <f ca="1">TRIM(tbl_FamilyBackground[[#This Row],[father_job]])</f>
        <v>other</v>
      </c>
    </row>
    <row r="270" spans="1:5" x14ac:dyDescent="0.35">
      <c r="A270">
        <v>269</v>
      </c>
      <c r="B270" t="s">
        <v>62</v>
      </c>
      <c r="C270" t="s">
        <v>66</v>
      </c>
      <c r="D270" t="s">
        <v>9</v>
      </c>
      <c r="E270" t="str">
        <f ca="1">TRIM(tbl_FamilyBackground[[#This Row],[father_job]])</f>
        <v>other</v>
      </c>
    </row>
    <row r="271" spans="1:5" x14ac:dyDescent="0.35">
      <c r="A271">
        <v>270</v>
      </c>
      <c r="B271" t="s">
        <v>66</v>
      </c>
      <c r="C271" t="s">
        <v>65</v>
      </c>
      <c r="D271" t="s">
        <v>27</v>
      </c>
      <c r="E271" t="str">
        <f ca="1">TRIM(tbl_FamilyBackground[[#This Row],[father_job]])</f>
        <v>other</v>
      </c>
    </row>
    <row r="272" spans="1:5" x14ac:dyDescent="0.35">
      <c r="A272">
        <v>271</v>
      </c>
      <c r="B272" t="s">
        <v>68</v>
      </c>
      <c r="C272" t="s">
        <v>68</v>
      </c>
      <c r="D272" t="s">
        <v>27</v>
      </c>
      <c r="E272" t="str">
        <f ca="1">TRIM(tbl_FamilyBackground[[#This Row],[father_job]])</f>
        <v>services</v>
      </c>
    </row>
    <row r="273" spans="1:5" x14ac:dyDescent="0.35">
      <c r="A273">
        <v>272</v>
      </c>
      <c r="B273" t="s">
        <v>66</v>
      </c>
      <c r="C273" t="s">
        <v>68</v>
      </c>
      <c r="D273" t="s">
        <v>27</v>
      </c>
      <c r="E273" t="str">
        <f ca="1">TRIM(tbl_FamilyBackground[[#This Row],[father_job]])</f>
        <v>services</v>
      </c>
    </row>
    <row r="274" spans="1:5" x14ac:dyDescent="0.35">
      <c r="A274">
        <v>273</v>
      </c>
      <c r="B274" t="s">
        <v>65</v>
      </c>
      <c r="C274" t="s">
        <v>65</v>
      </c>
      <c r="D274" t="s">
        <v>27</v>
      </c>
      <c r="E274" t="str">
        <f ca="1">TRIM(tbl_FamilyBackground[[#This Row],[father_job]])</f>
        <v>other</v>
      </c>
    </row>
    <row r="275" spans="1:5" x14ac:dyDescent="0.35">
      <c r="A275">
        <v>274</v>
      </c>
      <c r="B275" t="s">
        <v>65</v>
      </c>
      <c r="C275" t="s">
        <v>66</v>
      </c>
      <c r="D275" t="s">
        <v>63</v>
      </c>
      <c r="E275" t="str">
        <f ca="1">TRIM(tbl_FamilyBackground[[#This Row],[father_job]])</f>
        <v>at_home</v>
      </c>
    </row>
    <row r="276" spans="1:5" x14ac:dyDescent="0.35">
      <c r="A276">
        <v>275</v>
      </c>
      <c r="B276" t="s">
        <v>66</v>
      </c>
      <c r="C276" t="s">
        <v>62</v>
      </c>
      <c r="D276" t="s">
        <v>63</v>
      </c>
      <c r="E276" t="str">
        <f ca="1">TRIM(tbl_FamilyBackground[[#This Row],[father_job]])</f>
        <v>health</v>
      </c>
    </row>
    <row r="277" spans="1:5" x14ac:dyDescent="0.35">
      <c r="A277">
        <v>276</v>
      </c>
      <c r="B277" t="s">
        <v>66</v>
      </c>
      <c r="C277" t="s">
        <v>66</v>
      </c>
      <c r="D277" t="s">
        <v>67</v>
      </c>
      <c r="E277" t="str">
        <f ca="1">TRIM(tbl_FamilyBackground[[#This Row],[father_job]])</f>
        <v>other</v>
      </c>
    </row>
    <row r="278" spans="1:5" x14ac:dyDescent="0.35">
      <c r="A278">
        <v>277</v>
      </c>
      <c r="B278" t="s">
        <v>68</v>
      </c>
      <c r="C278" t="s">
        <v>66</v>
      </c>
      <c r="D278" t="s">
        <v>27</v>
      </c>
      <c r="E278" t="str">
        <f ca="1">TRIM(tbl_FamilyBackground[[#This Row],[father_job]])</f>
        <v>services</v>
      </c>
    </row>
    <row r="279" spans="1:5" x14ac:dyDescent="0.35">
      <c r="A279">
        <v>278</v>
      </c>
      <c r="B279" t="s">
        <v>62</v>
      </c>
      <c r="C279" t="s">
        <v>62</v>
      </c>
      <c r="D279" t="s">
        <v>64</v>
      </c>
      <c r="E279" t="str">
        <f ca="1">TRIM(tbl_FamilyBackground[[#This Row],[father_job]])</f>
        <v>services</v>
      </c>
    </row>
    <row r="280" spans="1:5" x14ac:dyDescent="0.35">
      <c r="A280">
        <v>279</v>
      </c>
      <c r="B280" t="s">
        <v>62</v>
      </c>
      <c r="C280" t="s">
        <v>62</v>
      </c>
      <c r="D280" t="s">
        <v>9</v>
      </c>
      <c r="E280" t="str">
        <f ca="1">TRIM(tbl_FamilyBackground[[#This Row],[father_job]])</f>
        <v>health</v>
      </c>
    </row>
    <row r="281" spans="1:5" x14ac:dyDescent="0.35">
      <c r="A281">
        <v>280</v>
      </c>
      <c r="B281" t="s">
        <v>62</v>
      </c>
      <c r="C281" t="s">
        <v>68</v>
      </c>
      <c r="D281" t="s">
        <v>64</v>
      </c>
      <c r="E281" t="str">
        <f ca="1">TRIM(tbl_FamilyBackground[[#This Row],[father_job]])</f>
        <v>services</v>
      </c>
    </row>
    <row r="282" spans="1:5" x14ac:dyDescent="0.35">
      <c r="A282">
        <v>281</v>
      </c>
      <c r="B282" t="s">
        <v>62</v>
      </c>
      <c r="C282" t="s">
        <v>65</v>
      </c>
      <c r="D282" t="s">
        <v>67</v>
      </c>
      <c r="E282" t="str">
        <f ca="1">TRIM(tbl_FamilyBackground[[#This Row],[father_job]])</f>
        <v>other</v>
      </c>
    </row>
    <row r="283" spans="1:5" x14ac:dyDescent="0.35">
      <c r="A283">
        <v>282</v>
      </c>
      <c r="B283" t="s">
        <v>68</v>
      </c>
      <c r="C283" t="s">
        <v>66</v>
      </c>
      <c r="D283" t="s">
        <v>64</v>
      </c>
      <c r="E283" t="str">
        <f ca="1">TRIM(tbl_FamilyBackground[[#This Row],[father_job]])</f>
        <v>services</v>
      </c>
    </row>
    <row r="284" spans="1:5" x14ac:dyDescent="0.35">
      <c r="A284">
        <v>283</v>
      </c>
      <c r="B284" t="s">
        <v>65</v>
      </c>
      <c r="C284" t="s">
        <v>65</v>
      </c>
      <c r="D284" t="s">
        <v>63</v>
      </c>
      <c r="E284" t="str">
        <f ca="1">TRIM(tbl_FamilyBackground[[#This Row],[father_job]])</f>
        <v>other</v>
      </c>
    </row>
    <row r="285" spans="1:5" x14ac:dyDescent="0.35">
      <c r="A285">
        <v>284</v>
      </c>
      <c r="B285" t="s">
        <v>65</v>
      </c>
      <c r="C285" t="s">
        <v>65</v>
      </c>
      <c r="D285" t="s">
        <v>27</v>
      </c>
      <c r="E285" t="str">
        <f ca="1">TRIM(tbl_FamilyBackground[[#This Row],[father_job]])</f>
        <v>other</v>
      </c>
    </row>
    <row r="286" spans="1:5" x14ac:dyDescent="0.35">
      <c r="A286">
        <v>285</v>
      </c>
      <c r="B286" t="s">
        <v>66</v>
      </c>
      <c r="C286" t="s">
        <v>66</v>
      </c>
      <c r="D286" t="s">
        <v>27</v>
      </c>
      <c r="E286" t="str">
        <f ca="1">TRIM(tbl_FamilyBackground[[#This Row],[father_job]])</f>
        <v>other</v>
      </c>
    </row>
    <row r="287" spans="1:5" x14ac:dyDescent="0.35">
      <c r="A287">
        <v>286</v>
      </c>
      <c r="B287" t="s">
        <v>65</v>
      </c>
      <c r="C287" t="s">
        <v>65</v>
      </c>
      <c r="D287" t="s">
        <v>27</v>
      </c>
      <c r="E287" t="str">
        <f ca="1">TRIM(tbl_FamilyBackground[[#This Row],[father_job]])</f>
        <v>other</v>
      </c>
    </row>
    <row r="288" spans="1:5" x14ac:dyDescent="0.35">
      <c r="A288">
        <v>287</v>
      </c>
      <c r="B288" t="s">
        <v>66</v>
      </c>
      <c r="C288" t="s">
        <v>66</v>
      </c>
      <c r="D288" t="s">
        <v>63</v>
      </c>
      <c r="E288" t="str">
        <f ca="1">TRIM(tbl_FamilyBackground[[#This Row],[father_job]])</f>
        <v>at_home</v>
      </c>
    </row>
    <row r="289" spans="1:5" x14ac:dyDescent="0.35">
      <c r="A289">
        <v>288</v>
      </c>
      <c r="B289" t="s">
        <v>65</v>
      </c>
      <c r="C289" t="s">
        <v>65</v>
      </c>
      <c r="D289" t="s">
        <v>67</v>
      </c>
      <c r="E289" t="str">
        <f ca="1">TRIM(tbl_FamilyBackground[[#This Row],[father_job]])</f>
        <v>teacher</v>
      </c>
    </row>
    <row r="290" spans="1:5" x14ac:dyDescent="0.35">
      <c r="A290">
        <v>289</v>
      </c>
      <c r="B290" t="s">
        <v>66</v>
      </c>
      <c r="C290" t="s">
        <v>65</v>
      </c>
      <c r="D290" t="s">
        <v>67</v>
      </c>
      <c r="E290" t="str">
        <f ca="1">TRIM(tbl_FamilyBackground[[#This Row],[father_job]])</f>
        <v>services</v>
      </c>
    </row>
    <row r="291" spans="1:5" x14ac:dyDescent="0.35">
      <c r="A291">
        <v>290</v>
      </c>
      <c r="B291" t="s">
        <v>62</v>
      </c>
      <c r="C291" t="s">
        <v>62</v>
      </c>
      <c r="D291" t="s">
        <v>64</v>
      </c>
      <c r="E291" t="str">
        <f ca="1">TRIM(tbl_FamilyBackground[[#This Row],[father_job]])</f>
        <v>teacher</v>
      </c>
    </row>
    <row r="292" spans="1:5" x14ac:dyDescent="0.35">
      <c r="A292">
        <v>291</v>
      </c>
      <c r="B292" t="s">
        <v>62</v>
      </c>
      <c r="C292" t="s">
        <v>66</v>
      </c>
      <c r="D292" t="s">
        <v>64</v>
      </c>
      <c r="E292" t="str">
        <f ca="1">TRIM(tbl_FamilyBackground[[#This Row],[father_job]])</f>
        <v>other</v>
      </c>
    </row>
    <row r="293" spans="1:5" x14ac:dyDescent="0.35">
      <c r="A293">
        <v>292</v>
      </c>
      <c r="B293" t="s">
        <v>62</v>
      </c>
      <c r="C293" t="s">
        <v>68</v>
      </c>
      <c r="D293" t="s">
        <v>9</v>
      </c>
      <c r="E293" t="str">
        <f ca="1">TRIM(tbl_FamilyBackground[[#This Row],[father_job]])</f>
        <v>services</v>
      </c>
    </row>
    <row r="294" spans="1:5" x14ac:dyDescent="0.35">
      <c r="A294">
        <v>293</v>
      </c>
      <c r="B294" t="s">
        <v>66</v>
      </c>
      <c r="C294" t="s">
        <v>65</v>
      </c>
      <c r="D294" t="s">
        <v>67</v>
      </c>
      <c r="E294" t="str">
        <f ca="1">TRIM(tbl_FamilyBackground[[#This Row],[father_job]])</f>
        <v>at_home</v>
      </c>
    </row>
    <row r="295" spans="1:5" x14ac:dyDescent="0.35">
      <c r="A295">
        <v>294</v>
      </c>
      <c r="B295" t="s">
        <v>68</v>
      </c>
      <c r="C295" t="s">
        <v>65</v>
      </c>
      <c r="D295" t="s">
        <v>67</v>
      </c>
      <c r="E295" t="str">
        <f ca="1">TRIM(tbl_FamilyBackground[[#This Row],[father_job]])</f>
        <v>other</v>
      </c>
    </row>
    <row r="296" spans="1:5" x14ac:dyDescent="0.35">
      <c r="A296">
        <v>295</v>
      </c>
      <c r="B296" t="s">
        <v>68</v>
      </c>
      <c r="C296" t="s">
        <v>66</v>
      </c>
      <c r="D296" t="s">
        <v>67</v>
      </c>
      <c r="E296" t="str">
        <f ca="1">TRIM(tbl_FamilyBackground[[#This Row],[father_job]])</f>
        <v>other</v>
      </c>
    </row>
    <row r="297" spans="1:5" x14ac:dyDescent="0.35">
      <c r="A297">
        <v>296</v>
      </c>
      <c r="B297" t="s">
        <v>68</v>
      </c>
      <c r="C297" t="s">
        <v>68</v>
      </c>
      <c r="D297" t="s">
        <v>9</v>
      </c>
      <c r="E297" t="str">
        <f ca="1">TRIM(tbl_FamilyBackground[[#This Row],[father_job]])</f>
        <v>other</v>
      </c>
    </row>
    <row r="298" spans="1:5" x14ac:dyDescent="0.35">
      <c r="A298">
        <v>297</v>
      </c>
      <c r="B298" t="s">
        <v>62</v>
      </c>
      <c r="C298" t="s">
        <v>62</v>
      </c>
      <c r="D298" t="s">
        <v>9</v>
      </c>
      <c r="E298" t="str">
        <f ca="1">TRIM(tbl_FamilyBackground[[#This Row],[father_job]])</f>
        <v>other</v>
      </c>
    </row>
    <row r="299" spans="1:5" x14ac:dyDescent="0.35">
      <c r="A299">
        <v>298</v>
      </c>
      <c r="B299" t="s">
        <v>62</v>
      </c>
      <c r="C299" t="s">
        <v>68</v>
      </c>
      <c r="D299" t="s">
        <v>27</v>
      </c>
      <c r="E299" t="str">
        <f ca="1">TRIM(tbl_FamilyBackground[[#This Row],[father_job]])</f>
        <v>other</v>
      </c>
    </row>
    <row r="300" spans="1:5" x14ac:dyDescent="0.35">
      <c r="A300">
        <v>299</v>
      </c>
      <c r="B300" t="s">
        <v>62</v>
      </c>
      <c r="C300" t="s">
        <v>68</v>
      </c>
      <c r="D300" t="s">
        <v>27</v>
      </c>
      <c r="E300" t="str">
        <f ca="1">TRIM(tbl_FamilyBackground[[#This Row],[father_job]])</f>
        <v>other</v>
      </c>
    </row>
    <row r="301" spans="1:5" x14ac:dyDescent="0.35">
      <c r="A301">
        <v>300</v>
      </c>
      <c r="B301" t="s">
        <v>62</v>
      </c>
      <c r="C301" t="s">
        <v>62</v>
      </c>
      <c r="D301" t="s">
        <v>64</v>
      </c>
      <c r="E301" t="str">
        <f ca="1">TRIM(tbl_FamilyBackground[[#This Row],[father_job]])</f>
        <v>teacher</v>
      </c>
    </row>
    <row r="302" spans="1:5" x14ac:dyDescent="0.35">
      <c r="A302">
        <v>301</v>
      </c>
      <c r="B302" t="s">
        <v>62</v>
      </c>
      <c r="C302" t="s">
        <v>62</v>
      </c>
      <c r="D302" t="s">
        <v>9</v>
      </c>
      <c r="E302" t="str">
        <f ca="1">TRIM(tbl_FamilyBackground[[#This Row],[father_job]])</f>
        <v>other</v>
      </c>
    </row>
    <row r="303" spans="1:5" x14ac:dyDescent="0.35">
      <c r="A303">
        <v>302</v>
      </c>
      <c r="B303" t="s">
        <v>62</v>
      </c>
      <c r="C303" t="s">
        <v>62</v>
      </c>
      <c r="D303" t="s">
        <v>27</v>
      </c>
      <c r="E303" t="str">
        <f ca="1">TRIM(tbl_FamilyBackground[[#This Row],[father_job]])</f>
        <v>teacher</v>
      </c>
    </row>
    <row r="304" spans="1:5" x14ac:dyDescent="0.35">
      <c r="A304">
        <v>303</v>
      </c>
      <c r="B304" t="s">
        <v>62</v>
      </c>
      <c r="C304" t="s">
        <v>66</v>
      </c>
      <c r="D304" t="s">
        <v>27</v>
      </c>
      <c r="E304" t="str">
        <f ca="1">TRIM(tbl_FamilyBackground[[#This Row],[father_job]])</f>
        <v>other</v>
      </c>
    </row>
    <row r="305" spans="1:5" x14ac:dyDescent="0.35">
      <c r="A305">
        <v>304</v>
      </c>
      <c r="B305" t="s">
        <v>68</v>
      </c>
      <c r="C305" t="s">
        <v>66</v>
      </c>
      <c r="D305" t="s">
        <v>9</v>
      </c>
      <c r="E305" t="str">
        <f ca="1">TRIM(tbl_FamilyBackground[[#This Row],[father_job]])</f>
        <v>health</v>
      </c>
    </row>
    <row r="306" spans="1:5" x14ac:dyDescent="0.35">
      <c r="A306">
        <v>305</v>
      </c>
      <c r="B306" t="s">
        <v>68</v>
      </c>
      <c r="C306" t="s">
        <v>68</v>
      </c>
      <c r="D306" t="s">
        <v>27</v>
      </c>
      <c r="E306" t="str">
        <f ca="1">TRIM(tbl_FamilyBackground[[#This Row],[father_job]])</f>
        <v>other</v>
      </c>
    </row>
    <row r="307" spans="1:5" x14ac:dyDescent="0.35">
      <c r="A307">
        <v>306</v>
      </c>
      <c r="B307" t="s">
        <v>66</v>
      </c>
      <c r="C307" t="s">
        <v>62</v>
      </c>
      <c r="D307" t="s">
        <v>67</v>
      </c>
      <c r="E307" t="str">
        <f ca="1">TRIM(tbl_FamilyBackground[[#This Row],[father_job]])</f>
        <v>at_home</v>
      </c>
    </row>
    <row r="308" spans="1:5" x14ac:dyDescent="0.35">
      <c r="A308">
        <v>307</v>
      </c>
      <c r="B308" t="s">
        <v>68</v>
      </c>
      <c r="C308" t="s">
        <v>66</v>
      </c>
      <c r="D308" t="s">
        <v>67</v>
      </c>
      <c r="E308" t="str">
        <f ca="1">TRIM(tbl_FamilyBackground[[#This Row],[father_job]])</f>
        <v>other</v>
      </c>
    </row>
    <row r="309" spans="1:5" x14ac:dyDescent="0.35">
      <c r="A309">
        <v>308</v>
      </c>
      <c r="B309" t="s">
        <v>62</v>
      </c>
      <c r="C309" t="s">
        <v>62</v>
      </c>
      <c r="D309" t="s">
        <v>64</v>
      </c>
      <c r="E309" t="str">
        <f ca="1">TRIM(tbl_FamilyBackground[[#This Row],[father_job]])</f>
        <v>services</v>
      </c>
    </row>
    <row r="310" spans="1:5" x14ac:dyDescent="0.35">
      <c r="A310">
        <v>309</v>
      </c>
      <c r="B310" t="s">
        <v>68</v>
      </c>
      <c r="C310" t="s">
        <v>68</v>
      </c>
      <c r="D310" t="s">
        <v>27</v>
      </c>
      <c r="E310" t="str">
        <f ca="1">TRIM(tbl_FamilyBackground[[#This Row],[father_job]])</f>
        <v>services</v>
      </c>
    </row>
    <row r="311" spans="1:5" x14ac:dyDescent="0.35">
      <c r="A311">
        <v>310</v>
      </c>
      <c r="B311" t="s">
        <v>65</v>
      </c>
      <c r="C311" t="s">
        <v>65</v>
      </c>
      <c r="D311" t="s">
        <v>63</v>
      </c>
      <c r="E311" t="str">
        <f ca="1">TRIM(tbl_FamilyBackground[[#This Row],[father_job]])</f>
        <v>other</v>
      </c>
    </row>
    <row r="312" spans="1:5" x14ac:dyDescent="0.35">
      <c r="A312">
        <v>311</v>
      </c>
      <c r="B312" t="s">
        <v>65</v>
      </c>
      <c r="C312" t="s">
        <v>66</v>
      </c>
      <c r="D312" t="s">
        <v>67</v>
      </c>
      <c r="E312" t="str">
        <f ca="1">TRIM(tbl_FamilyBackground[[#This Row],[father_job]])</f>
        <v>services</v>
      </c>
    </row>
    <row r="313" spans="1:5" x14ac:dyDescent="0.35">
      <c r="A313">
        <v>312</v>
      </c>
      <c r="B313" t="s">
        <v>66</v>
      </c>
      <c r="C313" t="s">
        <v>65</v>
      </c>
      <c r="D313" t="s">
        <v>63</v>
      </c>
      <c r="E313" t="str">
        <f ca="1">TRIM(tbl_FamilyBackground[[#This Row],[father_job]])</f>
        <v>other</v>
      </c>
    </row>
    <row r="314" spans="1:5" x14ac:dyDescent="0.35">
      <c r="A314">
        <v>313</v>
      </c>
      <c r="B314" t="s">
        <v>65</v>
      </c>
      <c r="C314" t="s">
        <v>66</v>
      </c>
      <c r="D314" t="s">
        <v>27</v>
      </c>
      <c r="E314" t="str">
        <f ca="1">TRIM(tbl_FamilyBackground[[#This Row],[father_job]])</f>
        <v>services</v>
      </c>
    </row>
    <row r="315" spans="1:5" x14ac:dyDescent="0.35">
      <c r="A315">
        <v>314</v>
      </c>
      <c r="B315" t="s">
        <v>68</v>
      </c>
      <c r="C315" t="s">
        <v>66</v>
      </c>
      <c r="D315" t="s">
        <v>67</v>
      </c>
      <c r="E315" t="str">
        <f ca="1">TRIM(tbl_FamilyBackground[[#This Row],[father_job]])</f>
        <v>other</v>
      </c>
    </row>
    <row r="316" spans="1:5" x14ac:dyDescent="0.35">
      <c r="A316">
        <v>315</v>
      </c>
      <c r="B316" t="s">
        <v>65</v>
      </c>
      <c r="C316" t="s">
        <v>65</v>
      </c>
      <c r="D316" t="s">
        <v>63</v>
      </c>
      <c r="E316" t="str">
        <f ca="1">TRIM(tbl_FamilyBackground[[#This Row],[father_job]])</f>
        <v>health</v>
      </c>
    </row>
    <row r="317" spans="1:5" x14ac:dyDescent="0.35">
      <c r="A317">
        <v>316</v>
      </c>
      <c r="B317" t="s">
        <v>66</v>
      </c>
      <c r="C317" t="s">
        <v>68</v>
      </c>
      <c r="D317" t="s">
        <v>27</v>
      </c>
      <c r="E317" t="str">
        <f ca="1">TRIM(tbl_FamilyBackground[[#This Row],[father_job]])</f>
        <v>other</v>
      </c>
    </row>
    <row r="318" spans="1:5" x14ac:dyDescent="0.35">
      <c r="A318">
        <v>317</v>
      </c>
      <c r="B318" t="s">
        <v>66</v>
      </c>
      <c r="C318" t="s">
        <v>65</v>
      </c>
      <c r="D318" t="s">
        <v>67</v>
      </c>
      <c r="E318" t="str">
        <f ca="1">TRIM(tbl_FamilyBackground[[#This Row],[father_job]])</f>
        <v>other</v>
      </c>
    </row>
    <row r="319" spans="1:5" x14ac:dyDescent="0.35">
      <c r="A319">
        <v>318</v>
      </c>
      <c r="B319" t="s">
        <v>62</v>
      </c>
      <c r="C319" t="s">
        <v>68</v>
      </c>
      <c r="D319" t="s">
        <v>27</v>
      </c>
      <c r="E319" t="str">
        <f ca="1">TRIM(tbl_FamilyBackground[[#This Row],[father_job]])</f>
        <v>other</v>
      </c>
    </row>
    <row r="320" spans="1:5" x14ac:dyDescent="0.35">
      <c r="A320">
        <v>319</v>
      </c>
      <c r="B320" t="s">
        <v>68</v>
      </c>
      <c r="C320" t="s">
        <v>62</v>
      </c>
      <c r="D320" t="s">
        <v>63</v>
      </c>
      <c r="E320" t="str">
        <f ca="1">TRIM(tbl_FamilyBackground[[#This Row],[father_job]])</f>
        <v>services</v>
      </c>
    </row>
    <row r="321" spans="1:5" x14ac:dyDescent="0.35">
      <c r="A321">
        <v>320</v>
      </c>
      <c r="B321" t="s">
        <v>62</v>
      </c>
      <c r="C321" t="s">
        <v>62</v>
      </c>
      <c r="D321" t="s">
        <v>64</v>
      </c>
      <c r="E321" t="str">
        <f ca="1">TRIM(tbl_FamilyBackground[[#This Row],[father_job]])</f>
        <v>other</v>
      </c>
    </row>
    <row r="322" spans="1:5" x14ac:dyDescent="0.35">
      <c r="A322">
        <v>321</v>
      </c>
      <c r="B322" t="s">
        <v>62</v>
      </c>
      <c r="C322" t="s">
        <v>68</v>
      </c>
      <c r="D322" t="s">
        <v>67</v>
      </c>
      <c r="E322" t="str">
        <f ca="1">TRIM(tbl_FamilyBackground[[#This Row],[father_job]])</f>
        <v>services</v>
      </c>
    </row>
    <row r="323" spans="1:5" x14ac:dyDescent="0.35">
      <c r="A323">
        <v>322</v>
      </c>
      <c r="B323" t="s">
        <v>66</v>
      </c>
      <c r="C323" t="s">
        <v>66</v>
      </c>
      <c r="D323" t="s">
        <v>27</v>
      </c>
      <c r="E323" t="str">
        <f ca="1">TRIM(tbl_FamilyBackground[[#This Row],[father_job]])</f>
        <v>other</v>
      </c>
    </row>
    <row r="324" spans="1:5" x14ac:dyDescent="0.35">
      <c r="A324">
        <v>323</v>
      </c>
      <c r="B324" t="s">
        <v>66</v>
      </c>
      <c r="C324" t="s">
        <v>66</v>
      </c>
      <c r="D324" t="s">
        <v>67</v>
      </c>
      <c r="E324" t="str">
        <f ca="1">TRIM(tbl_FamilyBackground[[#This Row],[father_job]])</f>
        <v>services</v>
      </c>
    </row>
    <row r="325" spans="1:5" x14ac:dyDescent="0.35">
      <c r="A325">
        <v>324</v>
      </c>
      <c r="B325" t="s">
        <v>68</v>
      </c>
      <c r="C325" t="s">
        <v>65</v>
      </c>
      <c r="D325" t="s">
        <v>67</v>
      </c>
      <c r="E325" t="str">
        <f ca="1">TRIM(tbl_FamilyBackground[[#This Row],[father_job]])</f>
        <v>services</v>
      </c>
    </row>
    <row r="326" spans="1:5" x14ac:dyDescent="0.35">
      <c r="A326">
        <v>325</v>
      </c>
      <c r="B326" t="s">
        <v>69</v>
      </c>
      <c r="C326" t="s">
        <v>66</v>
      </c>
      <c r="D326" t="s">
        <v>63</v>
      </c>
      <c r="E326" t="str">
        <f ca="1">TRIM(tbl_FamilyBackground[[#This Row],[father_job]])</f>
        <v>at_home</v>
      </c>
    </row>
    <row r="327" spans="1:5" x14ac:dyDescent="0.35">
      <c r="A327">
        <v>326</v>
      </c>
      <c r="B327" t="s">
        <v>62</v>
      </c>
      <c r="C327" t="s">
        <v>62</v>
      </c>
      <c r="D327" t="s">
        <v>27</v>
      </c>
      <c r="E327" t="str">
        <f ca="1">TRIM(tbl_FamilyBackground[[#This Row],[father_job]])</f>
        <v>other</v>
      </c>
    </row>
    <row r="328" spans="1:5" x14ac:dyDescent="0.35">
      <c r="A328">
        <v>327</v>
      </c>
      <c r="B328" t="s">
        <v>68</v>
      </c>
      <c r="C328" t="s">
        <v>68</v>
      </c>
      <c r="D328" t="s">
        <v>27</v>
      </c>
      <c r="E328" t="str">
        <f ca="1">TRIM(tbl_FamilyBackground[[#This Row],[father_job]])</f>
        <v>services</v>
      </c>
    </row>
    <row r="329" spans="1:5" x14ac:dyDescent="0.35">
      <c r="A329">
        <v>328</v>
      </c>
      <c r="B329" t="s">
        <v>66</v>
      </c>
      <c r="C329" t="s">
        <v>66</v>
      </c>
      <c r="D329" t="s">
        <v>67</v>
      </c>
      <c r="E329" t="str">
        <f ca="1">TRIM(tbl_FamilyBackground[[#This Row],[father_job]])</f>
        <v>other</v>
      </c>
    </row>
    <row r="330" spans="1:5" x14ac:dyDescent="0.35">
      <c r="A330">
        <v>329</v>
      </c>
      <c r="B330" t="s">
        <v>62</v>
      </c>
      <c r="C330" t="s">
        <v>62</v>
      </c>
      <c r="D330" t="s">
        <v>64</v>
      </c>
      <c r="E330" t="str">
        <f ca="1">TRIM(tbl_FamilyBackground[[#This Row],[father_job]])</f>
        <v>services</v>
      </c>
    </row>
    <row r="331" spans="1:5" x14ac:dyDescent="0.35">
      <c r="A331">
        <v>330</v>
      </c>
      <c r="B331" t="s">
        <v>62</v>
      </c>
      <c r="C331" t="s">
        <v>62</v>
      </c>
      <c r="D331" t="s">
        <v>64</v>
      </c>
      <c r="E331" t="str">
        <f ca="1">TRIM(tbl_FamilyBackground[[#This Row],[father_job]])</f>
        <v>teacher</v>
      </c>
    </row>
    <row r="332" spans="1:5" x14ac:dyDescent="0.35">
      <c r="A332">
        <v>331</v>
      </c>
      <c r="B332" t="s">
        <v>66</v>
      </c>
      <c r="C332" t="s">
        <v>66</v>
      </c>
      <c r="D332" t="s">
        <v>27</v>
      </c>
      <c r="E332" t="str">
        <f ca="1">TRIM(tbl_FamilyBackground[[#This Row],[father_job]])</f>
        <v>other</v>
      </c>
    </row>
    <row r="333" spans="1:5" x14ac:dyDescent="0.35">
      <c r="A333">
        <v>332</v>
      </c>
      <c r="B333" t="s">
        <v>66</v>
      </c>
      <c r="C333" t="s">
        <v>62</v>
      </c>
      <c r="D333" t="s">
        <v>63</v>
      </c>
      <c r="E333" t="str">
        <f ca="1">TRIM(tbl_FamilyBackground[[#This Row],[father_job]])</f>
        <v>other</v>
      </c>
    </row>
    <row r="334" spans="1:5" x14ac:dyDescent="0.35">
      <c r="A334">
        <v>333</v>
      </c>
      <c r="B334" t="s">
        <v>68</v>
      </c>
      <c r="C334" t="s">
        <v>68</v>
      </c>
      <c r="D334" t="s">
        <v>67</v>
      </c>
      <c r="E334" t="str">
        <f ca="1">TRIM(tbl_FamilyBackground[[#This Row],[father_job]])</f>
        <v>services</v>
      </c>
    </row>
    <row r="335" spans="1:5" x14ac:dyDescent="0.35">
      <c r="A335">
        <v>334</v>
      </c>
      <c r="B335" t="s">
        <v>66</v>
      </c>
      <c r="C335" t="s">
        <v>66</v>
      </c>
      <c r="D335" t="s">
        <v>27</v>
      </c>
      <c r="E335" t="str">
        <f ca="1">TRIM(tbl_FamilyBackground[[#This Row],[father_job]])</f>
        <v>other</v>
      </c>
    </row>
    <row r="336" spans="1:5" x14ac:dyDescent="0.35">
      <c r="A336">
        <v>335</v>
      </c>
      <c r="B336" t="s">
        <v>66</v>
      </c>
      <c r="C336" t="s">
        <v>66</v>
      </c>
      <c r="D336" t="s">
        <v>63</v>
      </c>
      <c r="E336" t="str">
        <f ca="1">TRIM(tbl_FamilyBackground[[#This Row],[father_job]])</f>
        <v>other</v>
      </c>
    </row>
    <row r="337" spans="1:5" x14ac:dyDescent="0.35">
      <c r="A337">
        <v>336</v>
      </c>
      <c r="B337" t="s">
        <v>68</v>
      </c>
      <c r="C337" t="s">
        <v>62</v>
      </c>
      <c r="D337" t="s">
        <v>67</v>
      </c>
      <c r="E337" t="str">
        <f ca="1">TRIM(tbl_FamilyBackground[[#This Row],[father_job]])</f>
        <v>other</v>
      </c>
    </row>
    <row r="338" spans="1:5" x14ac:dyDescent="0.35">
      <c r="A338">
        <v>337</v>
      </c>
      <c r="B338" t="s">
        <v>68</v>
      </c>
      <c r="C338" t="s">
        <v>65</v>
      </c>
      <c r="D338" t="s">
        <v>67</v>
      </c>
      <c r="E338" t="str">
        <f ca="1">TRIM(tbl_FamilyBackground[[#This Row],[father_job]])</f>
        <v>at_home</v>
      </c>
    </row>
    <row r="339" spans="1:5" x14ac:dyDescent="0.35">
      <c r="A339">
        <v>338</v>
      </c>
      <c r="B339" t="s">
        <v>68</v>
      </c>
      <c r="C339" t="s">
        <v>66</v>
      </c>
      <c r="D339" t="s">
        <v>27</v>
      </c>
      <c r="E339" t="str">
        <f ca="1">TRIM(tbl_FamilyBackground[[#This Row],[father_job]])</f>
        <v>other</v>
      </c>
    </row>
    <row r="340" spans="1:5" x14ac:dyDescent="0.35">
      <c r="A340">
        <v>339</v>
      </c>
      <c r="B340" t="s">
        <v>68</v>
      </c>
      <c r="C340" t="s">
        <v>68</v>
      </c>
      <c r="D340" t="s">
        <v>67</v>
      </c>
      <c r="E340" t="str">
        <f ca="1">TRIM(tbl_FamilyBackground[[#This Row],[father_job]])</f>
        <v>services</v>
      </c>
    </row>
    <row r="341" spans="1:5" x14ac:dyDescent="0.35">
      <c r="A341">
        <v>340</v>
      </c>
      <c r="B341" t="s">
        <v>68</v>
      </c>
      <c r="C341" t="s">
        <v>66</v>
      </c>
      <c r="D341" t="s">
        <v>27</v>
      </c>
      <c r="E341" t="str">
        <f ca="1">TRIM(tbl_FamilyBackground[[#This Row],[father_job]])</f>
        <v>other</v>
      </c>
    </row>
    <row r="342" spans="1:5" x14ac:dyDescent="0.35">
      <c r="A342">
        <v>341</v>
      </c>
      <c r="B342" t="s">
        <v>66</v>
      </c>
      <c r="C342" t="s">
        <v>65</v>
      </c>
      <c r="D342" t="s">
        <v>67</v>
      </c>
      <c r="E342" t="str">
        <f ca="1">TRIM(tbl_FamilyBackground[[#This Row],[father_job]])</f>
        <v>services</v>
      </c>
    </row>
    <row r="343" spans="1:5" x14ac:dyDescent="0.35">
      <c r="A343">
        <v>342</v>
      </c>
      <c r="B343" t="s">
        <v>62</v>
      </c>
      <c r="C343" t="s">
        <v>62</v>
      </c>
      <c r="D343" t="s">
        <v>64</v>
      </c>
      <c r="E343" t="str">
        <f ca="1">TRIM(tbl_FamilyBackground[[#This Row],[father_job]])</f>
        <v>services</v>
      </c>
    </row>
    <row r="344" spans="1:5" x14ac:dyDescent="0.35">
      <c r="A344">
        <v>343</v>
      </c>
      <c r="B344" t="s">
        <v>68</v>
      </c>
      <c r="C344" t="s">
        <v>62</v>
      </c>
      <c r="D344" t="s">
        <v>67</v>
      </c>
      <c r="E344" t="str">
        <f ca="1">TRIM(tbl_FamilyBackground[[#This Row],[father_job]])</f>
        <v>other</v>
      </c>
    </row>
    <row r="345" spans="1:5" x14ac:dyDescent="0.35">
      <c r="A345">
        <v>344</v>
      </c>
      <c r="B345" t="s">
        <v>66</v>
      </c>
      <c r="C345" t="s">
        <v>66</v>
      </c>
      <c r="D345" t="s">
        <v>63</v>
      </c>
      <c r="E345" t="str">
        <f ca="1">TRIM(tbl_FamilyBackground[[#This Row],[father_job]])</f>
        <v>at_home</v>
      </c>
    </row>
    <row r="346" spans="1:5" x14ac:dyDescent="0.35">
      <c r="A346">
        <v>345</v>
      </c>
      <c r="B346" t="s">
        <v>66</v>
      </c>
      <c r="C346" t="s">
        <v>68</v>
      </c>
      <c r="D346" t="s">
        <v>63</v>
      </c>
      <c r="E346" t="str">
        <f ca="1">TRIM(tbl_FamilyBackground[[#This Row],[father_job]])</f>
        <v>other</v>
      </c>
    </row>
    <row r="347" spans="1:5" x14ac:dyDescent="0.35">
      <c r="A347">
        <v>346</v>
      </c>
      <c r="B347" t="s">
        <v>68</v>
      </c>
      <c r="C347" t="s">
        <v>66</v>
      </c>
      <c r="D347" t="s">
        <v>27</v>
      </c>
      <c r="E347" t="str">
        <f ca="1">TRIM(tbl_FamilyBackground[[#This Row],[father_job]])</f>
        <v>services</v>
      </c>
    </row>
    <row r="348" spans="1:5" x14ac:dyDescent="0.35">
      <c r="A348">
        <v>347</v>
      </c>
      <c r="B348" t="s">
        <v>62</v>
      </c>
      <c r="C348" t="s">
        <v>68</v>
      </c>
      <c r="D348" t="s">
        <v>64</v>
      </c>
      <c r="E348" t="str">
        <f ca="1">TRIM(tbl_FamilyBackground[[#This Row],[father_job]])</f>
        <v>services</v>
      </c>
    </row>
    <row r="349" spans="1:5" x14ac:dyDescent="0.35">
      <c r="A349">
        <v>348</v>
      </c>
      <c r="B349" t="s">
        <v>62</v>
      </c>
      <c r="C349" t="s">
        <v>68</v>
      </c>
      <c r="D349" t="s">
        <v>64</v>
      </c>
      <c r="E349" t="str">
        <f ca="1">TRIM(tbl_FamilyBackground[[#This Row],[father_job]])</f>
        <v>other</v>
      </c>
    </row>
    <row r="350" spans="1:5" x14ac:dyDescent="0.35">
      <c r="A350">
        <v>349</v>
      </c>
      <c r="B350" t="s">
        <v>62</v>
      </c>
      <c r="C350" t="s">
        <v>68</v>
      </c>
      <c r="D350" t="s">
        <v>9</v>
      </c>
      <c r="E350" t="str">
        <f ca="1">TRIM(tbl_FamilyBackground[[#This Row],[father_job]])</f>
        <v>other</v>
      </c>
    </row>
    <row r="351" spans="1:5" x14ac:dyDescent="0.35">
      <c r="A351">
        <v>350</v>
      </c>
      <c r="B351" t="s">
        <v>68</v>
      </c>
      <c r="C351" t="s">
        <v>66</v>
      </c>
      <c r="D351" t="s">
        <v>27</v>
      </c>
      <c r="E351" t="str">
        <f ca="1">TRIM(tbl_FamilyBackground[[#This Row],[father_job]])</f>
        <v>other</v>
      </c>
    </row>
    <row r="352" spans="1:5" x14ac:dyDescent="0.35">
      <c r="A352">
        <v>351</v>
      </c>
      <c r="B352" t="s">
        <v>65</v>
      </c>
      <c r="C352" t="s">
        <v>65</v>
      </c>
      <c r="D352" t="s">
        <v>27</v>
      </c>
      <c r="E352" t="str">
        <f ca="1">TRIM(tbl_FamilyBackground[[#This Row],[father_job]])</f>
        <v>services</v>
      </c>
    </row>
    <row r="353" spans="1:5" x14ac:dyDescent="0.35">
      <c r="A353">
        <v>352</v>
      </c>
      <c r="B353" t="s">
        <v>68</v>
      </c>
      <c r="C353" t="s">
        <v>68</v>
      </c>
      <c r="D353" t="s">
        <v>9</v>
      </c>
      <c r="E353" t="str">
        <f ca="1">TRIM(tbl_FamilyBackground[[#This Row],[father_job]])</f>
        <v>other</v>
      </c>
    </row>
    <row r="354" spans="1:5" x14ac:dyDescent="0.35">
      <c r="A354">
        <v>353</v>
      </c>
      <c r="B354" t="s">
        <v>65</v>
      </c>
      <c r="C354" t="s">
        <v>68</v>
      </c>
      <c r="D354" t="s">
        <v>63</v>
      </c>
      <c r="E354" t="str">
        <f ca="1">TRIM(tbl_FamilyBackground[[#This Row],[father_job]])</f>
        <v>services</v>
      </c>
    </row>
    <row r="355" spans="1:5" x14ac:dyDescent="0.35">
      <c r="A355">
        <v>354</v>
      </c>
      <c r="B355" t="s">
        <v>65</v>
      </c>
      <c r="C355" t="s">
        <v>65</v>
      </c>
      <c r="D355" t="s">
        <v>27</v>
      </c>
      <c r="E355" t="str">
        <f ca="1">TRIM(tbl_FamilyBackground[[#This Row],[father_job]])</f>
        <v>other</v>
      </c>
    </row>
    <row r="356" spans="1:5" x14ac:dyDescent="0.35">
      <c r="A356">
        <v>355</v>
      </c>
      <c r="B356" t="s">
        <v>62</v>
      </c>
      <c r="C356" t="s">
        <v>68</v>
      </c>
      <c r="D356" t="s">
        <v>67</v>
      </c>
      <c r="E356" t="str">
        <f ca="1">TRIM(tbl_FamilyBackground[[#This Row],[father_job]])</f>
        <v>other</v>
      </c>
    </row>
    <row r="357" spans="1:5" x14ac:dyDescent="0.35">
      <c r="A357">
        <v>356</v>
      </c>
      <c r="B357" t="s">
        <v>68</v>
      </c>
      <c r="C357" t="s">
        <v>68</v>
      </c>
      <c r="D357" t="s">
        <v>67</v>
      </c>
      <c r="E357" t="str">
        <f ca="1">TRIM(tbl_FamilyBackground[[#This Row],[father_job]])</f>
        <v>services</v>
      </c>
    </row>
    <row r="358" spans="1:5" x14ac:dyDescent="0.35">
      <c r="A358">
        <v>357</v>
      </c>
      <c r="B358" t="s">
        <v>62</v>
      </c>
      <c r="C358" t="s">
        <v>62</v>
      </c>
      <c r="D358" t="s">
        <v>64</v>
      </c>
      <c r="E358" t="str">
        <f ca="1">TRIM(tbl_FamilyBackground[[#This Row],[father_job]])</f>
        <v>services</v>
      </c>
    </row>
    <row r="359" spans="1:5" x14ac:dyDescent="0.35">
      <c r="A359">
        <v>358</v>
      </c>
      <c r="B359" t="s">
        <v>68</v>
      </c>
      <c r="C359" t="s">
        <v>66</v>
      </c>
      <c r="D359" t="s">
        <v>67</v>
      </c>
      <c r="E359" t="str">
        <f ca="1">TRIM(tbl_FamilyBackground[[#This Row],[father_job]])</f>
        <v>other</v>
      </c>
    </row>
    <row r="360" spans="1:5" x14ac:dyDescent="0.35">
      <c r="A360">
        <v>359</v>
      </c>
      <c r="B360" t="s">
        <v>65</v>
      </c>
      <c r="C360" t="s">
        <v>65</v>
      </c>
      <c r="D360" t="s">
        <v>27</v>
      </c>
      <c r="E360" t="str">
        <f ca="1">TRIM(tbl_FamilyBackground[[#This Row],[father_job]])</f>
        <v>services</v>
      </c>
    </row>
    <row r="361" spans="1:5" x14ac:dyDescent="0.35">
      <c r="A361">
        <v>360</v>
      </c>
      <c r="B361" t="s">
        <v>65</v>
      </c>
      <c r="C361" t="s">
        <v>65</v>
      </c>
      <c r="D361" t="s">
        <v>63</v>
      </c>
      <c r="E361" t="str">
        <f ca="1">TRIM(tbl_FamilyBackground[[#This Row],[father_job]])</f>
        <v>services</v>
      </c>
    </row>
    <row r="362" spans="1:5" x14ac:dyDescent="0.35">
      <c r="A362">
        <v>361</v>
      </c>
      <c r="B362" t="s">
        <v>65</v>
      </c>
      <c r="C362" t="s">
        <v>62</v>
      </c>
      <c r="D362" t="s">
        <v>63</v>
      </c>
      <c r="E362" t="str">
        <f ca="1">TRIM(tbl_FamilyBackground[[#This Row],[father_job]])</f>
        <v>other</v>
      </c>
    </row>
    <row r="363" spans="1:5" x14ac:dyDescent="0.35">
      <c r="A363">
        <v>362</v>
      </c>
      <c r="B363" t="s">
        <v>65</v>
      </c>
      <c r="C363" t="s">
        <v>65</v>
      </c>
      <c r="D363" t="s">
        <v>63</v>
      </c>
      <c r="E363" t="str">
        <f ca="1">TRIM(tbl_FamilyBackground[[#This Row],[father_job]])</f>
        <v>other</v>
      </c>
    </row>
    <row r="364" spans="1:5" x14ac:dyDescent="0.35">
      <c r="A364">
        <v>363</v>
      </c>
      <c r="B364" t="s">
        <v>68</v>
      </c>
      <c r="C364" t="s">
        <v>68</v>
      </c>
      <c r="D364" t="s">
        <v>67</v>
      </c>
      <c r="E364" t="str">
        <f ca="1">TRIM(tbl_FamilyBackground[[#This Row],[father_job]])</f>
        <v>services</v>
      </c>
    </row>
    <row r="365" spans="1:5" x14ac:dyDescent="0.35">
      <c r="A365">
        <v>364</v>
      </c>
      <c r="B365" t="s">
        <v>62</v>
      </c>
      <c r="C365" t="s">
        <v>62</v>
      </c>
      <c r="D365" t="s">
        <v>63</v>
      </c>
      <c r="E365" t="str">
        <f ca="1">TRIM(tbl_FamilyBackground[[#This Row],[father_job]])</f>
        <v>at_home</v>
      </c>
    </row>
    <row r="366" spans="1:5" x14ac:dyDescent="0.35">
      <c r="A366">
        <v>365</v>
      </c>
      <c r="B366" t="s">
        <v>65</v>
      </c>
      <c r="C366" t="s">
        <v>66</v>
      </c>
      <c r="D366" t="s">
        <v>27</v>
      </c>
      <c r="E366" t="str">
        <f ca="1">TRIM(tbl_FamilyBackground[[#This Row],[father_job]])</f>
        <v>services</v>
      </c>
    </row>
    <row r="367" spans="1:5" x14ac:dyDescent="0.35">
      <c r="A367">
        <v>366</v>
      </c>
      <c r="B367" t="s">
        <v>65</v>
      </c>
      <c r="C367" t="s">
        <v>68</v>
      </c>
      <c r="D367" t="s">
        <v>63</v>
      </c>
      <c r="E367" t="str">
        <f ca="1">TRIM(tbl_FamilyBackground[[#This Row],[father_job]])</f>
        <v>other</v>
      </c>
    </row>
    <row r="368" spans="1:5" x14ac:dyDescent="0.35">
      <c r="A368">
        <v>367</v>
      </c>
      <c r="B368" t="s">
        <v>62</v>
      </c>
      <c r="C368" t="s">
        <v>62</v>
      </c>
      <c r="D368" t="s">
        <v>64</v>
      </c>
      <c r="E368" t="str">
        <f ca="1">TRIM(tbl_FamilyBackground[[#This Row],[father_job]])</f>
        <v>services</v>
      </c>
    </row>
    <row r="369" spans="1:5" x14ac:dyDescent="0.35">
      <c r="A369">
        <v>368</v>
      </c>
      <c r="B369" t="s">
        <v>65</v>
      </c>
      <c r="C369" t="s">
        <v>65</v>
      </c>
      <c r="D369" t="s">
        <v>27</v>
      </c>
      <c r="E369" t="str">
        <f ca="1">TRIM(tbl_FamilyBackground[[#This Row],[father_job]])</f>
        <v>services</v>
      </c>
    </row>
    <row r="370" spans="1:5" x14ac:dyDescent="0.35">
      <c r="A370">
        <v>369</v>
      </c>
      <c r="B370" t="s">
        <v>66</v>
      </c>
      <c r="C370" t="s">
        <v>68</v>
      </c>
      <c r="D370" t="s">
        <v>63</v>
      </c>
      <c r="E370" t="str">
        <f ca="1">TRIM(tbl_FamilyBackground[[#This Row],[father_job]])</f>
        <v>services</v>
      </c>
    </row>
    <row r="371" spans="1:5" x14ac:dyDescent="0.35">
      <c r="A371">
        <v>370</v>
      </c>
      <c r="B371" t="s">
        <v>62</v>
      </c>
      <c r="C371" t="s">
        <v>62</v>
      </c>
      <c r="D371" t="s">
        <v>27</v>
      </c>
      <c r="E371" t="str">
        <f ca="1">TRIM(tbl_FamilyBackground[[#This Row],[father_job]])</f>
        <v>teacher</v>
      </c>
    </row>
    <row r="372" spans="1:5" x14ac:dyDescent="0.35">
      <c r="A372">
        <v>371</v>
      </c>
      <c r="B372" t="s">
        <v>68</v>
      </c>
      <c r="C372" t="s">
        <v>66</v>
      </c>
      <c r="D372" t="s">
        <v>67</v>
      </c>
      <c r="E372" t="str">
        <f ca="1">TRIM(tbl_FamilyBackground[[#This Row],[father_job]])</f>
        <v>services</v>
      </c>
    </row>
    <row r="373" spans="1:5" x14ac:dyDescent="0.35">
      <c r="A373">
        <v>372</v>
      </c>
      <c r="B373" t="s">
        <v>65</v>
      </c>
      <c r="C373" t="s">
        <v>66</v>
      </c>
      <c r="D373" t="s">
        <v>63</v>
      </c>
      <c r="E373" t="str">
        <f ca="1">TRIM(tbl_FamilyBackground[[#This Row],[father_job]])</f>
        <v>services</v>
      </c>
    </row>
    <row r="374" spans="1:5" x14ac:dyDescent="0.35">
      <c r="A374">
        <v>373</v>
      </c>
      <c r="B374" t="s">
        <v>66</v>
      </c>
      <c r="C374" t="s">
        <v>66</v>
      </c>
      <c r="D374" t="s">
        <v>27</v>
      </c>
      <c r="E374" t="str">
        <f ca="1">TRIM(tbl_FamilyBackground[[#This Row],[father_job]])</f>
        <v>at_home</v>
      </c>
    </row>
    <row r="375" spans="1:5" x14ac:dyDescent="0.35">
      <c r="A375">
        <v>374</v>
      </c>
      <c r="B375" t="s">
        <v>65</v>
      </c>
      <c r="C375" t="s">
        <v>66</v>
      </c>
      <c r="D375" t="s">
        <v>27</v>
      </c>
      <c r="E375" t="str">
        <f ca="1">TRIM(tbl_FamilyBackground[[#This Row],[father_job]])</f>
        <v>other</v>
      </c>
    </row>
    <row r="376" spans="1:5" x14ac:dyDescent="0.35">
      <c r="A376">
        <v>375</v>
      </c>
      <c r="B376" t="s">
        <v>62</v>
      </c>
      <c r="C376" t="s">
        <v>62</v>
      </c>
      <c r="D376" t="s">
        <v>27</v>
      </c>
      <c r="E376" t="str">
        <f ca="1">TRIM(tbl_FamilyBackground[[#This Row],[father_job]])</f>
        <v>other</v>
      </c>
    </row>
    <row r="377" spans="1:5" x14ac:dyDescent="0.35">
      <c r="A377">
        <v>376</v>
      </c>
      <c r="B377" t="s">
        <v>65</v>
      </c>
      <c r="C377" t="s">
        <v>65</v>
      </c>
      <c r="D377" t="s">
        <v>27</v>
      </c>
      <c r="E377" t="str">
        <f ca="1">TRIM(tbl_FamilyBackground[[#This Row],[father_job]])</f>
        <v>other</v>
      </c>
    </row>
    <row r="378" spans="1:5" x14ac:dyDescent="0.35">
      <c r="A378">
        <v>377</v>
      </c>
      <c r="B378" t="s">
        <v>62</v>
      </c>
      <c r="C378" t="s">
        <v>66</v>
      </c>
      <c r="D378" t="s">
        <v>9</v>
      </c>
      <c r="E378" t="str">
        <f ca="1">TRIM(tbl_FamilyBackground[[#This Row],[father_job]])</f>
        <v>other</v>
      </c>
    </row>
    <row r="379" spans="1:5" x14ac:dyDescent="0.35">
      <c r="A379">
        <v>378</v>
      </c>
      <c r="B379" t="s">
        <v>62</v>
      </c>
      <c r="C379" t="s">
        <v>62</v>
      </c>
      <c r="D379" t="s">
        <v>64</v>
      </c>
      <c r="E379" t="str">
        <f ca="1">TRIM(tbl_FamilyBackground[[#This Row],[father_job]])</f>
        <v>services</v>
      </c>
    </row>
    <row r="380" spans="1:5" x14ac:dyDescent="0.35">
      <c r="A380">
        <v>379</v>
      </c>
      <c r="B380" t="s">
        <v>68</v>
      </c>
      <c r="C380" t="s">
        <v>68</v>
      </c>
      <c r="D380" t="s">
        <v>27</v>
      </c>
      <c r="E380" t="str">
        <f ca="1">TRIM(tbl_FamilyBackground[[#This Row],[father_job]])</f>
        <v>other</v>
      </c>
    </row>
    <row r="381" spans="1:5" x14ac:dyDescent="0.35">
      <c r="A381">
        <v>380</v>
      </c>
      <c r="B381" t="s">
        <v>68</v>
      </c>
      <c r="C381" t="s">
        <v>65</v>
      </c>
      <c r="D381" t="s">
        <v>63</v>
      </c>
      <c r="E381" t="str">
        <f ca="1">TRIM(tbl_FamilyBackground[[#This Row],[father_job]])</f>
        <v>other</v>
      </c>
    </row>
    <row r="382" spans="1:5" x14ac:dyDescent="0.35">
      <c r="A382">
        <v>381</v>
      </c>
      <c r="B382" t="s">
        <v>62</v>
      </c>
      <c r="C382" t="s">
        <v>62</v>
      </c>
      <c r="D382" t="s">
        <v>64</v>
      </c>
      <c r="E382" t="str">
        <f ca="1">TRIM(tbl_FamilyBackground[[#This Row],[father_job]])</f>
        <v>teacher</v>
      </c>
    </row>
    <row r="383" spans="1:5" x14ac:dyDescent="0.35">
      <c r="A383">
        <v>382</v>
      </c>
      <c r="B383" t="s">
        <v>66</v>
      </c>
      <c r="C383" t="s">
        <v>65</v>
      </c>
      <c r="D383" t="s">
        <v>27</v>
      </c>
      <c r="E383" t="str">
        <f ca="1">TRIM(tbl_FamilyBackground[[#This Row],[father_job]])</f>
        <v>other</v>
      </c>
    </row>
    <row r="384" spans="1:5" x14ac:dyDescent="0.35">
      <c r="A384">
        <v>383</v>
      </c>
      <c r="B384" t="s">
        <v>66</v>
      </c>
      <c r="C384" t="s">
        <v>68</v>
      </c>
      <c r="D384" t="s">
        <v>27</v>
      </c>
      <c r="E384" t="str">
        <f ca="1">TRIM(tbl_FamilyBackground[[#This Row],[father_job]])</f>
        <v>services</v>
      </c>
    </row>
    <row r="385" spans="1:5" x14ac:dyDescent="0.35">
      <c r="A385">
        <v>384</v>
      </c>
      <c r="B385" t="s">
        <v>65</v>
      </c>
      <c r="C385" t="s">
        <v>65</v>
      </c>
      <c r="D385" t="s">
        <v>27</v>
      </c>
      <c r="E385" t="str">
        <f ca="1">TRIM(tbl_FamilyBackground[[#This Row],[father_job]])</f>
        <v>services</v>
      </c>
    </row>
    <row r="386" spans="1:5" x14ac:dyDescent="0.35">
      <c r="A386">
        <v>385</v>
      </c>
      <c r="B386" t="s">
        <v>62</v>
      </c>
      <c r="C386" t="s">
        <v>66</v>
      </c>
      <c r="D386" t="s">
        <v>27</v>
      </c>
      <c r="E386" t="str">
        <f ca="1">TRIM(tbl_FamilyBackground[[#This Row],[father_job]])</f>
        <v>other</v>
      </c>
    </row>
    <row r="387" spans="1:5" x14ac:dyDescent="0.35">
      <c r="A387">
        <v>386</v>
      </c>
      <c r="B387" t="s">
        <v>66</v>
      </c>
      <c r="C387" t="s">
        <v>66</v>
      </c>
      <c r="D387" t="s">
        <v>63</v>
      </c>
      <c r="E387" t="str">
        <f ca="1">TRIM(tbl_FamilyBackground[[#This Row],[father_job]])</f>
        <v>other</v>
      </c>
    </row>
    <row r="388" spans="1:5" x14ac:dyDescent="0.35">
      <c r="A388">
        <v>387</v>
      </c>
      <c r="B388" t="s">
        <v>62</v>
      </c>
      <c r="C388" t="s">
        <v>62</v>
      </c>
      <c r="D388" t="s">
        <v>64</v>
      </c>
      <c r="E388" t="str">
        <f ca="1">TRIM(tbl_FamilyBackground[[#This Row],[father_job]])</f>
        <v>at_home</v>
      </c>
    </row>
    <row r="389" spans="1:5" x14ac:dyDescent="0.35">
      <c r="A389">
        <v>388</v>
      </c>
      <c r="B389" t="s">
        <v>66</v>
      </c>
      <c r="C389" t="s">
        <v>68</v>
      </c>
      <c r="D389" t="s">
        <v>67</v>
      </c>
      <c r="E389" t="str">
        <f ca="1">TRIM(tbl_FamilyBackground[[#This Row],[father_job]])</f>
        <v>other</v>
      </c>
    </row>
    <row r="390" spans="1:5" x14ac:dyDescent="0.35">
      <c r="A390">
        <v>389</v>
      </c>
      <c r="B390" t="s">
        <v>68</v>
      </c>
      <c r="C390" t="s">
        <v>65</v>
      </c>
      <c r="D390" t="s">
        <v>64</v>
      </c>
      <c r="E390" t="str">
        <f ca="1">TRIM(tbl_FamilyBackground[[#This Row],[father_job]])</f>
        <v>services</v>
      </c>
    </row>
    <row r="391" spans="1:5" x14ac:dyDescent="0.35">
      <c r="A391">
        <v>390</v>
      </c>
      <c r="B391" t="s">
        <v>65</v>
      </c>
      <c r="C391" t="s">
        <v>65</v>
      </c>
      <c r="D391" t="s">
        <v>27</v>
      </c>
      <c r="E391" t="str">
        <f ca="1">TRIM(tbl_FamilyBackground[[#This Row],[father_job]])</f>
        <v>other</v>
      </c>
    </row>
    <row r="392" spans="1:5" x14ac:dyDescent="0.35">
      <c r="A392">
        <v>391</v>
      </c>
      <c r="B392" t="s">
        <v>66</v>
      </c>
      <c r="C392" t="s">
        <v>66</v>
      </c>
      <c r="D392" t="s">
        <v>67</v>
      </c>
      <c r="E392" t="str">
        <f ca="1">TRIM(tbl_FamilyBackground[[#This Row],[father_job]])</f>
        <v>services</v>
      </c>
    </row>
    <row r="393" spans="1:5" x14ac:dyDescent="0.35">
      <c r="A393">
        <v>392</v>
      </c>
      <c r="B393" t="s">
        <v>68</v>
      </c>
      <c r="C393" t="s">
        <v>65</v>
      </c>
      <c r="D393" t="s">
        <v>67</v>
      </c>
      <c r="E393" t="str">
        <f ca="1">TRIM(tbl_FamilyBackground[[#This Row],[father_job]])</f>
        <v>services</v>
      </c>
    </row>
    <row r="394" spans="1:5" x14ac:dyDescent="0.35">
      <c r="A394">
        <v>393</v>
      </c>
      <c r="B394" t="s">
        <v>65</v>
      </c>
      <c r="C394" t="s">
        <v>65</v>
      </c>
      <c r="D394" t="s">
        <v>27</v>
      </c>
      <c r="E394" t="str">
        <f ca="1">TRIM(tbl_FamilyBackground[[#This Row],[father_job]])</f>
        <v>other</v>
      </c>
    </row>
    <row r="395" spans="1:5" x14ac:dyDescent="0.35">
      <c r="A395">
        <v>394</v>
      </c>
      <c r="B395" t="s">
        <v>68</v>
      </c>
      <c r="C395" t="s">
        <v>66</v>
      </c>
      <c r="D395" t="s">
        <v>67</v>
      </c>
      <c r="E395" t="str">
        <f ca="1">TRIM(tbl_FamilyBackground[[#This Row],[father_job]])</f>
        <v>other</v>
      </c>
    </row>
    <row r="396" spans="1:5" x14ac:dyDescent="0.35">
      <c r="A396">
        <v>395</v>
      </c>
      <c r="B396" t="s">
        <v>65</v>
      </c>
      <c r="C396" t="s">
        <v>65</v>
      </c>
      <c r="D396" t="s">
        <v>27</v>
      </c>
      <c r="E396" t="str">
        <f ca="1">TRIM(tbl_FamilyBackground[[#This Row],[father_job]])</f>
        <v>at_home</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0985-1D88-4806-BE93-967D6269404C}">
  <dimension ref="A1:J396"/>
  <sheetViews>
    <sheetView zoomScale="69" zoomScaleNormal="69" workbookViewId="0">
      <selection activeCell="K1" sqref="K1:K1048576"/>
    </sheetView>
  </sheetViews>
  <sheetFormatPr defaultRowHeight="14.5" x14ac:dyDescent="0.35"/>
  <cols>
    <col min="1" max="1" width="11.7265625" bestFit="1" customWidth="1"/>
    <col min="2" max="2" width="20.90625" bestFit="1" customWidth="1"/>
    <col min="3" max="3" width="14.453125" bestFit="1" customWidth="1"/>
    <col min="4" max="4" width="12.08984375" bestFit="1" customWidth="1"/>
    <col min="5" max="5" width="13.6328125" bestFit="1" customWidth="1"/>
    <col min="6" max="6" width="15.6328125" bestFit="1" customWidth="1"/>
    <col min="7" max="7" width="15.36328125" bestFit="1" customWidth="1"/>
    <col min="8" max="8" width="18.08984375" bestFit="1" customWidth="1"/>
    <col min="9" max="9" width="15.36328125" bestFit="1" customWidth="1"/>
    <col min="10" max="10" width="11.08984375" bestFit="1" customWidth="1"/>
  </cols>
  <sheetData>
    <row r="1" spans="1:10" x14ac:dyDescent="0.35">
      <c r="A1" t="s">
        <v>0</v>
      </c>
      <c r="B1" t="s">
        <v>35</v>
      </c>
      <c r="C1" t="s">
        <v>36</v>
      </c>
      <c r="D1" t="s">
        <v>37</v>
      </c>
      <c r="E1" t="s">
        <v>38</v>
      </c>
      <c r="F1" t="s">
        <v>39</v>
      </c>
      <c r="G1" t="s">
        <v>40</v>
      </c>
      <c r="H1" t="s">
        <v>41</v>
      </c>
      <c r="I1" t="s">
        <v>42</v>
      </c>
      <c r="J1" t="s">
        <v>43</v>
      </c>
    </row>
    <row r="2" spans="1:10" x14ac:dyDescent="0.35">
      <c r="A2">
        <v>1</v>
      </c>
      <c r="B2" t="s">
        <v>44</v>
      </c>
      <c r="C2" t="s">
        <v>45</v>
      </c>
      <c r="D2" t="s">
        <v>46</v>
      </c>
      <c r="E2">
        <v>0</v>
      </c>
      <c r="F2" t="s">
        <v>12</v>
      </c>
      <c r="G2" t="s">
        <v>11</v>
      </c>
      <c r="H2" t="s">
        <v>11</v>
      </c>
      <c r="I2" t="s">
        <v>12</v>
      </c>
      <c r="J2" t="s">
        <v>12</v>
      </c>
    </row>
    <row r="3" spans="1:10" x14ac:dyDescent="0.35">
      <c r="A3">
        <v>2</v>
      </c>
      <c r="B3" t="s">
        <v>44</v>
      </c>
      <c r="C3" t="s">
        <v>47</v>
      </c>
      <c r="D3" t="s">
        <v>46</v>
      </c>
      <c r="E3">
        <v>0</v>
      </c>
      <c r="F3" t="s">
        <v>11</v>
      </c>
      <c r="G3" t="s">
        <v>12</v>
      </c>
      <c r="H3" t="s">
        <v>11</v>
      </c>
      <c r="I3" t="s">
        <v>11</v>
      </c>
      <c r="J3" t="s">
        <v>12</v>
      </c>
    </row>
    <row r="4" spans="1:10" x14ac:dyDescent="0.35">
      <c r="A4">
        <v>3</v>
      </c>
      <c r="B4" t="s">
        <v>27</v>
      </c>
      <c r="C4" t="s">
        <v>47</v>
      </c>
      <c r="D4" t="s">
        <v>46</v>
      </c>
      <c r="E4">
        <v>3</v>
      </c>
      <c r="F4" t="s">
        <v>12</v>
      </c>
      <c r="G4" t="s">
        <v>11</v>
      </c>
      <c r="H4" t="s">
        <v>12</v>
      </c>
      <c r="I4" t="s">
        <v>12</v>
      </c>
      <c r="J4" t="s">
        <v>12</v>
      </c>
    </row>
    <row r="5" spans="1:10" x14ac:dyDescent="0.35">
      <c r="A5">
        <v>4</v>
      </c>
      <c r="B5" t="s">
        <v>48</v>
      </c>
      <c r="C5" t="s">
        <v>47</v>
      </c>
      <c r="D5" t="s">
        <v>49</v>
      </c>
      <c r="E5">
        <v>0</v>
      </c>
      <c r="F5" t="s">
        <v>11</v>
      </c>
      <c r="G5" t="s">
        <v>12</v>
      </c>
      <c r="H5" t="s">
        <v>12</v>
      </c>
      <c r="I5" t="s">
        <v>12</v>
      </c>
      <c r="J5" t="s">
        <v>12</v>
      </c>
    </row>
    <row r="6" spans="1:10" x14ac:dyDescent="0.35">
      <c r="A6">
        <v>5</v>
      </c>
      <c r="B6" t="s">
        <v>48</v>
      </c>
      <c r="C6" t="s">
        <v>47</v>
      </c>
      <c r="D6" t="s">
        <v>46</v>
      </c>
      <c r="E6">
        <v>0</v>
      </c>
      <c r="F6" t="s">
        <v>11</v>
      </c>
      <c r="G6" t="s">
        <v>12</v>
      </c>
      <c r="H6" t="s">
        <v>12</v>
      </c>
      <c r="I6" t="s">
        <v>12</v>
      </c>
      <c r="J6" t="s">
        <v>12</v>
      </c>
    </row>
    <row r="7" spans="1:10" x14ac:dyDescent="0.35">
      <c r="A7">
        <v>6</v>
      </c>
      <c r="B7" t="s">
        <v>50</v>
      </c>
      <c r="C7" t="s">
        <v>47</v>
      </c>
      <c r="D7" t="s">
        <v>46</v>
      </c>
      <c r="E7">
        <v>0</v>
      </c>
      <c r="F7" t="s">
        <v>11</v>
      </c>
      <c r="G7" t="s">
        <v>12</v>
      </c>
      <c r="H7" t="s">
        <v>12</v>
      </c>
      <c r="I7" t="s">
        <v>12</v>
      </c>
      <c r="J7" t="s">
        <v>12</v>
      </c>
    </row>
    <row r="8" spans="1:10" x14ac:dyDescent="0.35">
      <c r="A8">
        <v>7</v>
      </c>
      <c r="B8" t="s">
        <v>48</v>
      </c>
      <c r="C8" t="s">
        <v>47</v>
      </c>
      <c r="D8" t="s">
        <v>46</v>
      </c>
      <c r="E8">
        <v>0</v>
      </c>
      <c r="F8" t="s">
        <v>11</v>
      </c>
      <c r="G8" t="s">
        <v>11</v>
      </c>
      <c r="H8" t="s">
        <v>11</v>
      </c>
      <c r="I8" t="s">
        <v>12</v>
      </c>
      <c r="J8" t="s">
        <v>12</v>
      </c>
    </row>
    <row r="9" spans="1:10" x14ac:dyDescent="0.35">
      <c r="A9">
        <v>8</v>
      </c>
      <c r="B9" t="s">
        <v>48</v>
      </c>
      <c r="C9" t="s">
        <v>45</v>
      </c>
      <c r="D9" t="s">
        <v>46</v>
      </c>
      <c r="E9">
        <v>0</v>
      </c>
      <c r="F9" t="s">
        <v>12</v>
      </c>
      <c r="G9" t="s">
        <v>12</v>
      </c>
      <c r="H9" t="s">
        <v>11</v>
      </c>
      <c r="I9" t="s">
        <v>12</v>
      </c>
      <c r="J9" t="s">
        <v>12</v>
      </c>
    </row>
    <row r="10" spans="1:10" x14ac:dyDescent="0.35">
      <c r="A10">
        <v>9</v>
      </c>
      <c r="B10" t="s">
        <v>48</v>
      </c>
      <c r="C10" t="s">
        <v>47</v>
      </c>
      <c r="D10" t="s">
        <v>46</v>
      </c>
      <c r="E10">
        <v>0</v>
      </c>
      <c r="F10" t="s">
        <v>11</v>
      </c>
      <c r="G10" t="s">
        <v>12</v>
      </c>
      <c r="H10" t="s">
        <v>12</v>
      </c>
      <c r="I10" t="s">
        <v>12</v>
      </c>
      <c r="J10" t="s">
        <v>12</v>
      </c>
    </row>
    <row r="11" spans="1:10" x14ac:dyDescent="0.35">
      <c r="A11">
        <v>10</v>
      </c>
      <c r="B11" t="s">
        <v>48</v>
      </c>
      <c r="C11" t="s">
        <v>47</v>
      </c>
      <c r="D11" t="s">
        <v>46</v>
      </c>
      <c r="E11">
        <v>0</v>
      </c>
      <c r="F11" t="s">
        <v>11</v>
      </c>
      <c r="G11" t="s">
        <v>12</v>
      </c>
      <c r="H11" t="s">
        <v>12</v>
      </c>
      <c r="I11" t="s">
        <v>12</v>
      </c>
      <c r="J11" t="s">
        <v>12</v>
      </c>
    </row>
    <row r="12" spans="1:10" x14ac:dyDescent="0.35">
      <c r="A12">
        <v>11</v>
      </c>
      <c r="B12" t="s">
        <v>50</v>
      </c>
      <c r="C12" t="s">
        <v>47</v>
      </c>
      <c r="D12" t="s">
        <v>46</v>
      </c>
      <c r="E12">
        <v>0</v>
      </c>
      <c r="F12" t="s">
        <v>11</v>
      </c>
      <c r="G12" t="s">
        <v>12</v>
      </c>
      <c r="H12" t="s">
        <v>12</v>
      </c>
      <c r="I12" t="s">
        <v>12</v>
      </c>
      <c r="J12" t="s">
        <v>12</v>
      </c>
    </row>
    <row r="13" spans="1:10" x14ac:dyDescent="0.35">
      <c r="A13">
        <v>12</v>
      </c>
      <c r="B13" t="s">
        <v>50</v>
      </c>
      <c r="C13" t="s">
        <v>51</v>
      </c>
      <c r="D13" t="s">
        <v>49</v>
      </c>
      <c r="E13">
        <v>0</v>
      </c>
      <c r="F13" t="s">
        <v>11</v>
      </c>
      <c r="G13" t="s">
        <v>12</v>
      </c>
      <c r="H13" t="s">
        <v>11</v>
      </c>
      <c r="I13" t="s">
        <v>12</v>
      </c>
      <c r="J13" t="s">
        <v>12</v>
      </c>
    </row>
    <row r="14" spans="1:10" x14ac:dyDescent="0.35">
      <c r="A14">
        <v>13</v>
      </c>
      <c r="B14" t="s">
        <v>44</v>
      </c>
      <c r="C14" t="s">
        <v>47</v>
      </c>
      <c r="D14" t="s">
        <v>52</v>
      </c>
      <c r="E14">
        <v>0</v>
      </c>
      <c r="F14" t="s">
        <v>11</v>
      </c>
      <c r="G14" t="s">
        <v>12</v>
      </c>
      <c r="H14" t="s">
        <v>12</v>
      </c>
      <c r="I14" t="s">
        <v>12</v>
      </c>
      <c r="J14" t="s">
        <v>12</v>
      </c>
    </row>
    <row r="15" spans="1:10" x14ac:dyDescent="0.35">
      <c r="A15">
        <v>14</v>
      </c>
      <c r="B15" t="s">
        <v>44</v>
      </c>
      <c r="C15" t="s">
        <v>45</v>
      </c>
      <c r="D15" t="s">
        <v>46</v>
      </c>
      <c r="E15">
        <v>0</v>
      </c>
      <c r="F15" t="s">
        <v>11</v>
      </c>
      <c r="G15" t="s">
        <v>12</v>
      </c>
      <c r="H15" t="s">
        <v>12</v>
      </c>
      <c r="I15" t="s">
        <v>12</v>
      </c>
      <c r="J15" t="s">
        <v>12</v>
      </c>
    </row>
    <row r="16" spans="1:10" x14ac:dyDescent="0.35">
      <c r="A16">
        <v>15</v>
      </c>
      <c r="B16" t="s">
        <v>48</v>
      </c>
      <c r="C16" t="s">
        <v>47</v>
      </c>
      <c r="D16" t="s">
        <v>49</v>
      </c>
      <c r="E16">
        <v>0</v>
      </c>
      <c r="F16" t="s">
        <v>11</v>
      </c>
      <c r="G16" t="s">
        <v>12</v>
      </c>
      <c r="H16" t="s">
        <v>11</v>
      </c>
      <c r="I16" t="s">
        <v>12</v>
      </c>
      <c r="J16" t="s">
        <v>12</v>
      </c>
    </row>
    <row r="17" spans="1:10" x14ac:dyDescent="0.35">
      <c r="A17">
        <v>16</v>
      </c>
      <c r="B17" t="s">
        <v>48</v>
      </c>
      <c r="C17" t="s">
        <v>47</v>
      </c>
      <c r="D17" t="s">
        <v>52</v>
      </c>
      <c r="E17">
        <v>0</v>
      </c>
      <c r="F17" t="s">
        <v>11</v>
      </c>
      <c r="G17" t="s">
        <v>12</v>
      </c>
      <c r="H17" t="s">
        <v>11</v>
      </c>
      <c r="I17" t="s">
        <v>12</v>
      </c>
      <c r="J17" t="s">
        <v>12</v>
      </c>
    </row>
    <row r="18" spans="1:10" x14ac:dyDescent="0.35">
      <c r="A18">
        <v>17</v>
      </c>
      <c r="B18" t="s">
        <v>50</v>
      </c>
      <c r="C18" t="s">
        <v>47</v>
      </c>
      <c r="D18" t="s">
        <v>49</v>
      </c>
      <c r="E18">
        <v>0</v>
      </c>
      <c r="F18" t="s">
        <v>11</v>
      </c>
      <c r="G18" t="s">
        <v>12</v>
      </c>
      <c r="H18" t="s">
        <v>12</v>
      </c>
      <c r="I18" t="s">
        <v>12</v>
      </c>
      <c r="J18" t="s">
        <v>12</v>
      </c>
    </row>
    <row r="19" spans="1:10" x14ac:dyDescent="0.35">
      <c r="A19">
        <v>18</v>
      </c>
      <c r="B19" t="s">
        <v>50</v>
      </c>
      <c r="C19" t="s">
        <v>51</v>
      </c>
      <c r="D19" t="s">
        <v>46</v>
      </c>
      <c r="E19">
        <v>0</v>
      </c>
      <c r="F19" t="s">
        <v>12</v>
      </c>
      <c r="G19" t="s">
        <v>12</v>
      </c>
      <c r="H19" t="s">
        <v>11</v>
      </c>
      <c r="I19" t="s">
        <v>12</v>
      </c>
      <c r="J19" t="s">
        <v>12</v>
      </c>
    </row>
    <row r="20" spans="1:10" x14ac:dyDescent="0.35">
      <c r="A20">
        <v>19</v>
      </c>
      <c r="B20" t="s">
        <v>44</v>
      </c>
      <c r="C20" t="s">
        <v>47</v>
      </c>
      <c r="D20" t="s">
        <v>52</v>
      </c>
      <c r="E20">
        <v>3</v>
      </c>
      <c r="F20" t="s">
        <v>11</v>
      </c>
      <c r="G20" t="s">
        <v>12</v>
      </c>
      <c r="H20" t="s">
        <v>11</v>
      </c>
      <c r="I20" t="s">
        <v>12</v>
      </c>
      <c r="J20" t="s">
        <v>12</v>
      </c>
    </row>
    <row r="21" spans="1:10" x14ac:dyDescent="0.35">
      <c r="A21">
        <v>20</v>
      </c>
      <c r="B21" t="s">
        <v>48</v>
      </c>
      <c r="C21" t="s">
        <v>47</v>
      </c>
      <c r="D21" t="s">
        <v>52</v>
      </c>
      <c r="E21">
        <v>0</v>
      </c>
      <c r="F21" t="s">
        <v>11</v>
      </c>
      <c r="G21" t="s">
        <v>11</v>
      </c>
      <c r="H21" t="s">
        <v>12</v>
      </c>
      <c r="I21" t="s">
        <v>12</v>
      </c>
      <c r="J21" t="s">
        <v>12</v>
      </c>
    </row>
    <row r="22" spans="1:10" x14ac:dyDescent="0.35">
      <c r="A22">
        <v>21</v>
      </c>
      <c r="B22" t="s">
        <v>50</v>
      </c>
      <c r="C22" t="s">
        <v>47</v>
      </c>
      <c r="D22" t="s">
        <v>46</v>
      </c>
      <c r="E22">
        <v>0</v>
      </c>
      <c r="F22" t="s">
        <v>11</v>
      </c>
      <c r="G22" t="s">
        <v>11</v>
      </c>
      <c r="H22" t="s">
        <v>11</v>
      </c>
      <c r="I22" t="s">
        <v>12</v>
      </c>
      <c r="J22" t="s">
        <v>12</v>
      </c>
    </row>
    <row r="23" spans="1:10" x14ac:dyDescent="0.35">
      <c r="A23">
        <v>22</v>
      </c>
      <c r="B23" t="s">
        <v>27</v>
      </c>
      <c r="C23" t="s">
        <v>47</v>
      </c>
      <c r="D23" t="s">
        <v>52</v>
      </c>
      <c r="E23">
        <v>0</v>
      </c>
      <c r="F23" t="s">
        <v>11</v>
      </c>
      <c r="G23" t="s">
        <v>12</v>
      </c>
      <c r="H23" t="s">
        <v>12</v>
      </c>
      <c r="I23" t="s">
        <v>12</v>
      </c>
      <c r="J23" t="s">
        <v>12</v>
      </c>
    </row>
    <row r="24" spans="1:10" x14ac:dyDescent="0.35">
      <c r="A24">
        <v>23</v>
      </c>
      <c r="B24" t="s">
        <v>44</v>
      </c>
      <c r="C24" t="s">
        <v>47</v>
      </c>
      <c r="D24" t="s">
        <v>46</v>
      </c>
      <c r="E24">
        <v>0</v>
      </c>
      <c r="F24" t="s">
        <v>11</v>
      </c>
      <c r="G24" t="s">
        <v>11</v>
      </c>
      <c r="H24" t="s">
        <v>11</v>
      </c>
      <c r="I24" t="s">
        <v>12</v>
      </c>
      <c r="J24" t="s">
        <v>12</v>
      </c>
    </row>
    <row r="25" spans="1:10" x14ac:dyDescent="0.35">
      <c r="A25">
        <v>24</v>
      </c>
      <c r="B25" t="s">
        <v>50</v>
      </c>
      <c r="C25" t="s">
        <v>45</v>
      </c>
      <c r="D25" t="s">
        <v>46</v>
      </c>
      <c r="E25">
        <v>0</v>
      </c>
      <c r="F25" t="s">
        <v>11</v>
      </c>
      <c r="G25" t="s">
        <v>12</v>
      </c>
      <c r="H25" t="s">
        <v>11</v>
      </c>
      <c r="I25" t="s">
        <v>12</v>
      </c>
      <c r="J25" t="s">
        <v>12</v>
      </c>
    </row>
    <row r="26" spans="1:10" x14ac:dyDescent="0.35">
      <c r="A26">
        <v>25</v>
      </c>
      <c r="B26" t="s">
        <v>44</v>
      </c>
      <c r="C26" t="s">
        <v>47</v>
      </c>
      <c r="D26" t="s">
        <v>49</v>
      </c>
      <c r="E26">
        <v>0</v>
      </c>
      <c r="F26" t="s">
        <v>12</v>
      </c>
      <c r="G26" t="s">
        <v>12</v>
      </c>
      <c r="H26" t="s">
        <v>12</v>
      </c>
      <c r="I26" t="s">
        <v>12</v>
      </c>
      <c r="J26" t="s">
        <v>12</v>
      </c>
    </row>
    <row r="27" spans="1:10" x14ac:dyDescent="0.35">
      <c r="A27">
        <v>26</v>
      </c>
      <c r="B27" t="s">
        <v>48</v>
      </c>
      <c r="C27" t="s">
        <v>47</v>
      </c>
      <c r="D27" t="s">
        <v>52</v>
      </c>
      <c r="E27">
        <v>2</v>
      </c>
      <c r="F27" t="s">
        <v>11</v>
      </c>
      <c r="G27" t="s">
        <v>12</v>
      </c>
      <c r="H27" t="s">
        <v>12</v>
      </c>
      <c r="I27" t="s">
        <v>11</v>
      </c>
      <c r="J27" t="s">
        <v>12</v>
      </c>
    </row>
    <row r="28" spans="1:10" x14ac:dyDescent="0.35">
      <c r="A28">
        <v>27</v>
      </c>
      <c r="B28" t="s">
        <v>48</v>
      </c>
      <c r="C28" t="s">
        <v>47</v>
      </c>
      <c r="D28" t="s">
        <v>52</v>
      </c>
      <c r="E28">
        <v>0</v>
      </c>
      <c r="F28" t="s">
        <v>11</v>
      </c>
      <c r="G28" t="s">
        <v>12</v>
      </c>
      <c r="H28" t="s">
        <v>12</v>
      </c>
      <c r="I28" t="s">
        <v>12</v>
      </c>
      <c r="J28" t="s">
        <v>12</v>
      </c>
    </row>
    <row r="29" spans="1:10" x14ac:dyDescent="0.35">
      <c r="A29">
        <v>28</v>
      </c>
      <c r="B29" t="s">
        <v>27</v>
      </c>
      <c r="C29" t="s">
        <v>47</v>
      </c>
      <c r="D29" t="s">
        <v>52</v>
      </c>
      <c r="E29">
        <v>0</v>
      </c>
      <c r="F29" t="s">
        <v>11</v>
      </c>
      <c r="G29" t="s">
        <v>11</v>
      </c>
      <c r="H29" t="s">
        <v>12</v>
      </c>
      <c r="I29" t="s">
        <v>12</v>
      </c>
      <c r="J29" t="s">
        <v>12</v>
      </c>
    </row>
    <row r="30" spans="1:10" x14ac:dyDescent="0.35">
      <c r="A30">
        <v>29</v>
      </c>
      <c r="B30" t="s">
        <v>48</v>
      </c>
      <c r="C30" t="s">
        <v>47</v>
      </c>
      <c r="D30" t="s">
        <v>46</v>
      </c>
      <c r="E30">
        <v>0</v>
      </c>
      <c r="F30" t="s">
        <v>12</v>
      </c>
      <c r="G30" t="s">
        <v>12</v>
      </c>
      <c r="H30" t="s">
        <v>11</v>
      </c>
      <c r="I30" t="s">
        <v>12</v>
      </c>
      <c r="J30" t="s">
        <v>12</v>
      </c>
    </row>
    <row r="31" spans="1:10" x14ac:dyDescent="0.35">
      <c r="A31">
        <v>30</v>
      </c>
      <c r="B31" t="s">
        <v>48</v>
      </c>
      <c r="C31" t="s">
        <v>47</v>
      </c>
      <c r="D31" t="s">
        <v>46</v>
      </c>
      <c r="E31">
        <v>0</v>
      </c>
      <c r="F31" t="s">
        <v>11</v>
      </c>
      <c r="G31" t="s">
        <v>12</v>
      </c>
      <c r="H31" t="s">
        <v>12</v>
      </c>
      <c r="I31" t="s">
        <v>12</v>
      </c>
      <c r="J31" t="s">
        <v>12</v>
      </c>
    </row>
    <row r="32" spans="1:10" x14ac:dyDescent="0.35">
      <c r="A32">
        <v>31</v>
      </c>
      <c r="B32" t="s">
        <v>48</v>
      </c>
      <c r="C32" t="s">
        <v>47</v>
      </c>
      <c r="D32" t="s">
        <v>46</v>
      </c>
      <c r="E32">
        <v>0</v>
      </c>
      <c r="F32" t="s">
        <v>11</v>
      </c>
      <c r="G32" t="s">
        <v>12</v>
      </c>
      <c r="H32" t="s">
        <v>12</v>
      </c>
      <c r="I32" t="s">
        <v>11</v>
      </c>
      <c r="J32" t="s">
        <v>12</v>
      </c>
    </row>
    <row r="33" spans="1:10" x14ac:dyDescent="0.35">
      <c r="A33">
        <v>32</v>
      </c>
      <c r="B33" t="s">
        <v>50</v>
      </c>
      <c r="C33" t="s">
        <v>45</v>
      </c>
      <c r="D33" t="s">
        <v>46</v>
      </c>
      <c r="E33">
        <v>0</v>
      </c>
      <c r="F33" t="s">
        <v>11</v>
      </c>
      <c r="G33" t="s">
        <v>12</v>
      </c>
      <c r="H33" t="s">
        <v>11</v>
      </c>
      <c r="I33" t="s">
        <v>12</v>
      </c>
      <c r="J33" t="s">
        <v>12</v>
      </c>
    </row>
    <row r="34" spans="1:10" x14ac:dyDescent="0.35">
      <c r="A34">
        <v>33</v>
      </c>
      <c r="B34" t="s">
        <v>44</v>
      </c>
      <c r="C34" t="s">
        <v>47</v>
      </c>
      <c r="D34" t="s">
        <v>46</v>
      </c>
      <c r="E34">
        <v>0</v>
      </c>
      <c r="F34" t="s">
        <v>11</v>
      </c>
      <c r="G34" t="s">
        <v>12</v>
      </c>
      <c r="H34" t="s">
        <v>11</v>
      </c>
      <c r="I34" t="s">
        <v>12</v>
      </c>
      <c r="J34" t="s">
        <v>12</v>
      </c>
    </row>
    <row r="35" spans="1:10" x14ac:dyDescent="0.35">
      <c r="A35">
        <v>34</v>
      </c>
      <c r="B35" t="s">
        <v>44</v>
      </c>
      <c r="C35" t="s">
        <v>47</v>
      </c>
      <c r="D35" t="s">
        <v>46</v>
      </c>
      <c r="E35">
        <v>0</v>
      </c>
      <c r="F35" t="s">
        <v>11</v>
      </c>
      <c r="G35" t="s">
        <v>11</v>
      </c>
      <c r="H35" t="s">
        <v>11</v>
      </c>
      <c r="I35" t="s">
        <v>11</v>
      </c>
      <c r="J35" t="s">
        <v>12</v>
      </c>
    </row>
    <row r="36" spans="1:10" x14ac:dyDescent="0.35">
      <c r="A36">
        <v>35</v>
      </c>
      <c r="B36" t="s">
        <v>48</v>
      </c>
      <c r="C36" t="s">
        <v>47</v>
      </c>
      <c r="D36" t="s">
        <v>52</v>
      </c>
      <c r="E36">
        <v>0</v>
      </c>
      <c r="F36" t="s">
        <v>11</v>
      </c>
      <c r="G36" t="s">
        <v>12</v>
      </c>
      <c r="H36" t="s">
        <v>12</v>
      </c>
      <c r="I36" t="s">
        <v>11</v>
      </c>
      <c r="J36" t="s">
        <v>12</v>
      </c>
    </row>
    <row r="37" spans="1:10" x14ac:dyDescent="0.35">
      <c r="A37">
        <v>36</v>
      </c>
      <c r="B37" t="s">
        <v>27</v>
      </c>
      <c r="C37" t="s">
        <v>45</v>
      </c>
      <c r="D37" t="s">
        <v>52</v>
      </c>
      <c r="E37">
        <v>0</v>
      </c>
      <c r="F37" t="s">
        <v>11</v>
      </c>
      <c r="G37" t="s">
        <v>12</v>
      </c>
      <c r="H37" t="s">
        <v>11</v>
      </c>
      <c r="I37" t="s">
        <v>12</v>
      </c>
      <c r="J37" t="s">
        <v>12</v>
      </c>
    </row>
    <row r="38" spans="1:10" x14ac:dyDescent="0.35">
      <c r="A38">
        <v>37</v>
      </c>
      <c r="B38" t="s">
        <v>48</v>
      </c>
      <c r="C38" t="s">
        <v>47</v>
      </c>
      <c r="D38" t="s">
        <v>49</v>
      </c>
      <c r="E38">
        <v>0</v>
      </c>
      <c r="F38" t="s">
        <v>11</v>
      </c>
      <c r="G38" t="s">
        <v>12</v>
      </c>
      <c r="H38" t="s">
        <v>11</v>
      </c>
      <c r="I38" t="s">
        <v>12</v>
      </c>
      <c r="J38" t="s">
        <v>12</v>
      </c>
    </row>
    <row r="39" spans="1:10" x14ac:dyDescent="0.35">
      <c r="A39">
        <v>38</v>
      </c>
      <c r="B39" t="s">
        <v>50</v>
      </c>
      <c r="C39" t="s">
        <v>45</v>
      </c>
      <c r="D39" t="s">
        <v>49</v>
      </c>
      <c r="E39">
        <v>0</v>
      </c>
      <c r="F39" t="s">
        <v>11</v>
      </c>
      <c r="G39" t="s">
        <v>12</v>
      </c>
      <c r="H39" t="s">
        <v>11</v>
      </c>
      <c r="I39" t="s">
        <v>12</v>
      </c>
      <c r="J39" t="s">
        <v>12</v>
      </c>
    </row>
    <row r="40" spans="1:10" x14ac:dyDescent="0.35">
      <c r="A40">
        <v>39</v>
      </c>
      <c r="B40" t="s">
        <v>44</v>
      </c>
      <c r="C40" t="s">
        <v>47</v>
      </c>
      <c r="D40" t="s">
        <v>49</v>
      </c>
      <c r="E40">
        <v>0</v>
      </c>
      <c r="F40" t="s">
        <v>12</v>
      </c>
      <c r="G40" t="s">
        <v>12</v>
      </c>
      <c r="H40" t="s">
        <v>12</v>
      </c>
      <c r="I40" t="s">
        <v>12</v>
      </c>
      <c r="J40" t="s">
        <v>12</v>
      </c>
    </row>
    <row r="41" spans="1:10" x14ac:dyDescent="0.35">
      <c r="A41">
        <v>40</v>
      </c>
      <c r="B41" t="s">
        <v>50</v>
      </c>
      <c r="C41" t="s">
        <v>47</v>
      </c>
      <c r="D41" t="s">
        <v>52</v>
      </c>
      <c r="E41">
        <v>0</v>
      </c>
      <c r="F41" t="s">
        <v>12</v>
      </c>
      <c r="G41" t="s">
        <v>12</v>
      </c>
      <c r="H41" t="s">
        <v>12</v>
      </c>
      <c r="I41" t="s">
        <v>12</v>
      </c>
      <c r="J41" t="s">
        <v>12</v>
      </c>
    </row>
    <row r="42" spans="1:10" x14ac:dyDescent="0.35">
      <c r="A42">
        <v>41</v>
      </c>
      <c r="B42" t="s">
        <v>48</v>
      </c>
      <c r="C42" t="s">
        <v>45</v>
      </c>
      <c r="D42" t="s">
        <v>46</v>
      </c>
      <c r="E42">
        <v>1</v>
      </c>
      <c r="F42" t="s">
        <v>11</v>
      </c>
      <c r="G42" t="s">
        <v>12</v>
      </c>
      <c r="H42" t="s">
        <v>11</v>
      </c>
      <c r="I42" t="s">
        <v>11</v>
      </c>
      <c r="J42" t="s">
        <v>12</v>
      </c>
    </row>
    <row r="43" spans="1:10" x14ac:dyDescent="0.35">
      <c r="A43">
        <v>42</v>
      </c>
      <c r="B43" t="s">
        <v>48</v>
      </c>
      <c r="C43" t="s">
        <v>47</v>
      </c>
      <c r="D43" t="s">
        <v>52</v>
      </c>
      <c r="E43">
        <v>0</v>
      </c>
      <c r="F43" t="s">
        <v>11</v>
      </c>
      <c r="G43" t="s">
        <v>12</v>
      </c>
      <c r="H43" t="s">
        <v>11</v>
      </c>
      <c r="I43" t="s">
        <v>11</v>
      </c>
      <c r="J43" t="s">
        <v>12</v>
      </c>
    </row>
    <row r="44" spans="1:10" x14ac:dyDescent="0.35">
      <c r="A44">
        <v>43</v>
      </c>
      <c r="B44" t="s">
        <v>44</v>
      </c>
      <c r="C44" t="s">
        <v>47</v>
      </c>
      <c r="D44" t="s">
        <v>46</v>
      </c>
      <c r="E44">
        <v>0</v>
      </c>
      <c r="F44" t="s">
        <v>11</v>
      </c>
      <c r="G44" t="s">
        <v>12</v>
      </c>
      <c r="H44" t="s">
        <v>11</v>
      </c>
      <c r="I44" t="s">
        <v>12</v>
      </c>
      <c r="J44" t="s">
        <v>12</v>
      </c>
    </row>
    <row r="45" spans="1:10" x14ac:dyDescent="0.35">
      <c r="A45">
        <v>44</v>
      </c>
      <c r="B45" t="s">
        <v>44</v>
      </c>
      <c r="C45" t="s">
        <v>47</v>
      </c>
      <c r="D45" t="s">
        <v>52</v>
      </c>
      <c r="E45">
        <v>0</v>
      </c>
      <c r="F45" t="s">
        <v>12</v>
      </c>
      <c r="G45" t="s">
        <v>12</v>
      </c>
      <c r="H45" t="s">
        <v>11</v>
      </c>
      <c r="I45" t="s">
        <v>12</v>
      </c>
      <c r="J45" t="s">
        <v>12</v>
      </c>
    </row>
    <row r="46" spans="1:10" x14ac:dyDescent="0.35">
      <c r="A46">
        <v>45</v>
      </c>
      <c r="B46" t="s">
        <v>44</v>
      </c>
      <c r="C46" t="s">
        <v>45</v>
      </c>
      <c r="D46" t="s">
        <v>46</v>
      </c>
      <c r="E46">
        <v>1</v>
      </c>
      <c r="F46" t="s">
        <v>12</v>
      </c>
      <c r="G46" t="s">
        <v>11</v>
      </c>
      <c r="H46" t="s">
        <v>11</v>
      </c>
      <c r="I46" t="s">
        <v>12</v>
      </c>
      <c r="J46" t="s">
        <v>12</v>
      </c>
    </row>
    <row r="47" spans="1:10" x14ac:dyDescent="0.35">
      <c r="A47">
        <v>46</v>
      </c>
      <c r="B47" t="s">
        <v>44</v>
      </c>
      <c r="C47" t="s">
        <v>47</v>
      </c>
      <c r="D47" t="s">
        <v>46</v>
      </c>
      <c r="E47">
        <v>0</v>
      </c>
      <c r="F47" t="s">
        <v>12</v>
      </c>
      <c r="G47" t="s">
        <v>12</v>
      </c>
      <c r="H47" t="s">
        <v>12</v>
      </c>
      <c r="I47" t="s">
        <v>12</v>
      </c>
      <c r="J47" t="s">
        <v>12</v>
      </c>
    </row>
    <row r="48" spans="1:10" x14ac:dyDescent="0.35">
      <c r="A48">
        <v>47</v>
      </c>
      <c r="B48" t="s">
        <v>48</v>
      </c>
      <c r="C48" t="s">
        <v>47</v>
      </c>
      <c r="D48" t="s">
        <v>46</v>
      </c>
      <c r="E48">
        <v>0</v>
      </c>
      <c r="F48" t="s">
        <v>11</v>
      </c>
      <c r="G48" t="s">
        <v>12</v>
      </c>
      <c r="H48" t="s">
        <v>11</v>
      </c>
      <c r="I48" t="s">
        <v>12</v>
      </c>
      <c r="J48" t="s">
        <v>12</v>
      </c>
    </row>
    <row r="49" spans="1:10" x14ac:dyDescent="0.35">
      <c r="A49">
        <v>48</v>
      </c>
      <c r="B49" t="s">
        <v>50</v>
      </c>
      <c r="C49" t="s">
        <v>47</v>
      </c>
      <c r="D49" t="s">
        <v>53</v>
      </c>
      <c r="E49">
        <v>0</v>
      </c>
      <c r="F49" t="s">
        <v>11</v>
      </c>
      <c r="G49" t="s">
        <v>11</v>
      </c>
      <c r="H49" t="s">
        <v>11</v>
      </c>
      <c r="I49" t="s">
        <v>12</v>
      </c>
      <c r="J49" t="s">
        <v>12</v>
      </c>
    </row>
    <row r="50" spans="1:10" x14ac:dyDescent="0.35">
      <c r="A50">
        <v>49</v>
      </c>
      <c r="B50" t="s">
        <v>48</v>
      </c>
      <c r="C50" t="s">
        <v>47</v>
      </c>
      <c r="D50" t="s">
        <v>46</v>
      </c>
      <c r="E50">
        <v>0</v>
      </c>
      <c r="F50" t="s">
        <v>11</v>
      </c>
      <c r="G50" t="s">
        <v>12</v>
      </c>
      <c r="H50" t="s">
        <v>12</v>
      </c>
      <c r="I50" t="s">
        <v>12</v>
      </c>
      <c r="J50" t="s">
        <v>12</v>
      </c>
    </row>
    <row r="51" spans="1:10" x14ac:dyDescent="0.35">
      <c r="A51">
        <v>50</v>
      </c>
      <c r="B51" t="s">
        <v>27</v>
      </c>
      <c r="C51" t="s">
        <v>47</v>
      </c>
      <c r="D51" t="s">
        <v>46</v>
      </c>
      <c r="E51">
        <v>1</v>
      </c>
      <c r="F51" t="s">
        <v>12</v>
      </c>
      <c r="G51" t="s">
        <v>12</v>
      </c>
      <c r="H51" t="s">
        <v>11</v>
      </c>
      <c r="I51" t="s">
        <v>11</v>
      </c>
      <c r="J51" t="s">
        <v>12</v>
      </c>
    </row>
    <row r="52" spans="1:10" x14ac:dyDescent="0.35">
      <c r="A52">
        <v>51</v>
      </c>
      <c r="B52" t="s">
        <v>44</v>
      </c>
      <c r="C52" t="s">
        <v>51</v>
      </c>
      <c r="D52" t="s">
        <v>46</v>
      </c>
      <c r="E52">
        <v>0</v>
      </c>
      <c r="F52" t="s">
        <v>11</v>
      </c>
      <c r="G52" t="s">
        <v>12</v>
      </c>
      <c r="H52" t="s">
        <v>12</v>
      </c>
      <c r="I52" t="s">
        <v>12</v>
      </c>
      <c r="J52" t="s">
        <v>12</v>
      </c>
    </row>
    <row r="53" spans="1:10" x14ac:dyDescent="0.35">
      <c r="A53">
        <v>52</v>
      </c>
      <c r="B53" t="s">
        <v>27</v>
      </c>
      <c r="C53" t="s">
        <v>47</v>
      </c>
      <c r="D53" t="s">
        <v>46</v>
      </c>
      <c r="E53">
        <v>0</v>
      </c>
      <c r="F53" t="s">
        <v>11</v>
      </c>
      <c r="G53" t="s">
        <v>12</v>
      </c>
      <c r="H53" t="s">
        <v>12</v>
      </c>
      <c r="I53" t="s">
        <v>12</v>
      </c>
      <c r="J53" t="s">
        <v>12</v>
      </c>
    </row>
    <row r="54" spans="1:10" x14ac:dyDescent="0.35">
      <c r="A54">
        <v>53</v>
      </c>
      <c r="B54" t="s">
        <v>27</v>
      </c>
      <c r="C54" t="s">
        <v>45</v>
      </c>
      <c r="D54" t="s">
        <v>52</v>
      </c>
      <c r="E54">
        <v>1</v>
      </c>
      <c r="F54" t="s">
        <v>11</v>
      </c>
      <c r="G54" t="s">
        <v>11</v>
      </c>
      <c r="H54" t="s">
        <v>11</v>
      </c>
      <c r="I54" t="s">
        <v>12</v>
      </c>
      <c r="J54" t="s">
        <v>12</v>
      </c>
    </row>
    <row r="55" spans="1:10" x14ac:dyDescent="0.35">
      <c r="A55">
        <v>54</v>
      </c>
      <c r="B55" t="s">
        <v>44</v>
      </c>
      <c r="C55" t="s">
        <v>47</v>
      </c>
      <c r="D55" t="s">
        <v>52</v>
      </c>
      <c r="E55">
        <v>0</v>
      </c>
      <c r="F55" t="s">
        <v>12</v>
      </c>
      <c r="G55" t="s">
        <v>12</v>
      </c>
      <c r="H55" t="s">
        <v>12</v>
      </c>
      <c r="I55" t="s">
        <v>12</v>
      </c>
      <c r="J55" t="s">
        <v>12</v>
      </c>
    </row>
    <row r="56" spans="1:10" x14ac:dyDescent="0.35">
      <c r="A56">
        <v>55</v>
      </c>
      <c r="B56" t="s">
        <v>27</v>
      </c>
      <c r="C56" t="s">
        <v>47</v>
      </c>
      <c r="D56" t="s">
        <v>52</v>
      </c>
      <c r="E56">
        <v>0</v>
      </c>
      <c r="F56" t="s">
        <v>11</v>
      </c>
      <c r="G56" t="s">
        <v>11</v>
      </c>
      <c r="H56" t="s">
        <v>12</v>
      </c>
      <c r="I56" t="s">
        <v>12</v>
      </c>
      <c r="J56" t="s">
        <v>12</v>
      </c>
    </row>
    <row r="57" spans="1:10" x14ac:dyDescent="0.35">
      <c r="A57">
        <v>56</v>
      </c>
      <c r="B57" t="s">
        <v>27</v>
      </c>
      <c r="C57" t="s">
        <v>47</v>
      </c>
      <c r="D57" t="s">
        <v>46</v>
      </c>
      <c r="E57">
        <v>0</v>
      </c>
      <c r="F57" t="s">
        <v>11</v>
      </c>
      <c r="G57" t="s">
        <v>11</v>
      </c>
      <c r="H57" t="s">
        <v>12</v>
      </c>
      <c r="I57" t="s">
        <v>12</v>
      </c>
      <c r="J57" t="s">
        <v>12</v>
      </c>
    </row>
    <row r="58" spans="1:10" x14ac:dyDescent="0.35">
      <c r="A58">
        <v>57</v>
      </c>
      <c r="B58" t="s">
        <v>50</v>
      </c>
      <c r="C58" t="s">
        <v>47</v>
      </c>
      <c r="D58" t="s">
        <v>46</v>
      </c>
      <c r="E58">
        <v>0</v>
      </c>
      <c r="F58" t="s">
        <v>11</v>
      </c>
      <c r="G58" t="s">
        <v>12</v>
      </c>
      <c r="H58" t="s">
        <v>12</v>
      </c>
      <c r="I58" t="s">
        <v>12</v>
      </c>
      <c r="J58" t="s">
        <v>12</v>
      </c>
    </row>
    <row r="59" spans="1:10" x14ac:dyDescent="0.35">
      <c r="A59">
        <v>58</v>
      </c>
      <c r="B59" t="s">
        <v>50</v>
      </c>
      <c r="C59" t="s">
        <v>47</v>
      </c>
      <c r="D59" t="s">
        <v>46</v>
      </c>
      <c r="E59">
        <v>0</v>
      </c>
      <c r="F59" t="s">
        <v>11</v>
      </c>
      <c r="G59" t="s">
        <v>12</v>
      </c>
      <c r="H59" t="s">
        <v>11</v>
      </c>
      <c r="I59" t="s">
        <v>12</v>
      </c>
      <c r="J59" t="s">
        <v>12</v>
      </c>
    </row>
    <row r="60" spans="1:10" x14ac:dyDescent="0.35">
      <c r="A60">
        <v>59</v>
      </c>
      <c r="B60" t="s">
        <v>48</v>
      </c>
      <c r="C60" t="s">
        <v>47</v>
      </c>
      <c r="D60" t="s">
        <v>46</v>
      </c>
      <c r="E60">
        <v>0</v>
      </c>
      <c r="F60" t="s">
        <v>12</v>
      </c>
      <c r="G60" t="s">
        <v>12</v>
      </c>
      <c r="H60" t="s">
        <v>11</v>
      </c>
      <c r="I60" t="s">
        <v>12</v>
      </c>
      <c r="J60" t="s">
        <v>12</v>
      </c>
    </row>
    <row r="61" spans="1:10" x14ac:dyDescent="0.35">
      <c r="A61">
        <v>60</v>
      </c>
      <c r="B61" t="s">
        <v>44</v>
      </c>
      <c r="C61" t="s">
        <v>47</v>
      </c>
      <c r="D61" t="s">
        <v>46</v>
      </c>
      <c r="E61">
        <v>0</v>
      </c>
      <c r="F61" t="s">
        <v>11</v>
      </c>
      <c r="G61" t="s">
        <v>12</v>
      </c>
      <c r="H61" t="s">
        <v>11</v>
      </c>
      <c r="I61" t="s">
        <v>12</v>
      </c>
      <c r="J61" t="s">
        <v>12</v>
      </c>
    </row>
    <row r="62" spans="1:10" x14ac:dyDescent="0.35">
      <c r="A62">
        <v>61</v>
      </c>
      <c r="B62" t="s">
        <v>27</v>
      </c>
      <c r="C62" t="s">
        <v>47</v>
      </c>
      <c r="D62" t="s">
        <v>46</v>
      </c>
      <c r="E62">
        <v>0</v>
      </c>
      <c r="F62" t="s">
        <v>11</v>
      </c>
      <c r="G62" t="s">
        <v>12</v>
      </c>
      <c r="H62" t="s">
        <v>11</v>
      </c>
      <c r="I62" t="s">
        <v>12</v>
      </c>
      <c r="J62" t="s">
        <v>12</v>
      </c>
    </row>
    <row r="63" spans="1:10" x14ac:dyDescent="0.35">
      <c r="A63">
        <v>62</v>
      </c>
      <c r="B63" t="s">
        <v>44</v>
      </c>
      <c r="C63" t="s">
        <v>54</v>
      </c>
      <c r="D63" t="s">
        <v>52</v>
      </c>
      <c r="E63">
        <v>0</v>
      </c>
      <c r="F63" t="s">
        <v>12</v>
      </c>
      <c r="G63" t="s">
        <v>12</v>
      </c>
      <c r="H63" t="s">
        <v>11</v>
      </c>
      <c r="I63" t="s">
        <v>11</v>
      </c>
      <c r="J63" t="s">
        <v>12</v>
      </c>
    </row>
    <row r="64" spans="1:10" x14ac:dyDescent="0.35">
      <c r="A64">
        <v>63</v>
      </c>
      <c r="B64" t="s">
        <v>50</v>
      </c>
      <c r="C64" t="s">
        <v>47</v>
      </c>
      <c r="D64" t="s">
        <v>46</v>
      </c>
      <c r="E64">
        <v>0</v>
      </c>
      <c r="F64" t="s">
        <v>12</v>
      </c>
      <c r="G64" t="s">
        <v>11</v>
      </c>
      <c r="H64" t="s">
        <v>11</v>
      </c>
      <c r="I64" t="s">
        <v>12</v>
      </c>
      <c r="J64" t="s">
        <v>12</v>
      </c>
    </row>
    <row r="65" spans="1:10" x14ac:dyDescent="0.35">
      <c r="A65">
        <v>64</v>
      </c>
      <c r="B65" t="s">
        <v>48</v>
      </c>
      <c r="C65" t="s">
        <v>47</v>
      </c>
      <c r="D65" t="s">
        <v>49</v>
      </c>
      <c r="E65">
        <v>0</v>
      </c>
      <c r="F65" t="s">
        <v>12</v>
      </c>
      <c r="G65" t="s">
        <v>12</v>
      </c>
      <c r="H65" t="s">
        <v>12</v>
      </c>
      <c r="I65" t="s">
        <v>12</v>
      </c>
      <c r="J65" t="s">
        <v>12</v>
      </c>
    </row>
    <row r="66" spans="1:10" x14ac:dyDescent="0.35">
      <c r="A66">
        <v>65</v>
      </c>
      <c r="B66" t="s">
        <v>50</v>
      </c>
      <c r="C66" t="s">
        <v>47</v>
      </c>
      <c r="D66" t="s">
        <v>46</v>
      </c>
      <c r="E66">
        <v>0</v>
      </c>
      <c r="F66" t="s">
        <v>12</v>
      </c>
      <c r="G66" t="s">
        <v>11</v>
      </c>
      <c r="H66" t="s">
        <v>11</v>
      </c>
      <c r="I66" t="s">
        <v>12</v>
      </c>
      <c r="J66" t="s">
        <v>12</v>
      </c>
    </row>
    <row r="67" spans="1:10" x14ac:dyDescent="0.35">
      <c r="A67">
        <v>66</v>
      </c>
      <c r="B67" t="s">
        <v>44</v>
      </c>
      <c r="C67" t="s">
        <v>51</v>
      </c>
      <c r="D67" t="s">
        <v>46</v>
      </c>
      <c r="E67">
        <v>0</v>
      </c>
      <c r="F67" t="s">
        <v>11</v>
      </c>
      <c r="G67" t="s">
        <v>12</v>
      </c>
      <c r="H67" t="s">
        <v>11</v>
      </c>
      <c r="I67" t="s">
        <v>12</v>
      </c>
      <c r="J67" t="s">
        <v>12</v>
      </c>
    </row>
    <row r="68" spans="1:10" x14ac:dyDescent="0.35">
      <c r="A68">
        <v>67</v>
      </c>
      <c r="B68" t="s">
        <v>50</v>
      </c>
      <c r="C68" t="s">
        <v>47</v>
      </c>
      <c r="D68" t="s">
        <v>53</v>
      </c>
      <c r="E68">
        <v>0</v>
      </c>
      <c r="F68" t="s">
        <v>11</v>
      </c>
      <c r="G68" t="s">
        <v>12</v>
      </c>
      <c r="H68" t="s">
        <v>11</v>
      </c>
      <c r="I68" t="s">
        <v>11</v>
      </c>
      <c r="J68" t="s">
        <v>12</v>
      </c>
    </row>
    <row r="69" spans="1:10" x14ac:dyDescent="0.35">
      <c r="A69">
        <v>68</v>
      </c>
      <c r="B69" t="s">
        <v>44</v>
      </c>
      <c r="C69" t="s">
        <v>47</v>
      </c>
      <c r="D69" t="s">
        <v>53</v>
      </c>
      <c r="E69">
        <v>0</v>
      </c>
      <c r="F69" t="s">
        <v>12</v>
      </c>
      <c r="G69" t="s">
        <v>12</v>
      </c>
      <c r="H69" t="s">
        <v>12</v>
      </c>
      <c r="I69" t="s">
        <v>12</v>
      </c>
      <c r="J69" t="s">
        <v>12</v>
      </c>
    </row>
    <row r="70" spans="1:10" x14ac:dyDescent="0.35">
      <c r="A70">
        <v>69</v>
      </c>
      <c r="B70" t="s">
        <v>50</v>
      </c>
      <c r="C70" t="s">
        <v>45</v>
      </c>
      <c r="D70" t="s">
        <v>46</v>
      </c>
      <c r="E70">
        <v>0</v>
      </c>
      <c r="F70" t="s">
        <v>12</v>
      </c>
      <c r="G70" t="s">
        <v>12</v>
      </c>
      <c r="H70" t="s">
        <v>12</v>
      </c>
      <c r="I70" t="s">
        <v>12</v>
      </c>
      <c r="J70" t="s">
        <v>12</v>
      </c>
    </row>
    <row r="71" spans="1:10" x14ac:dyDescent="0.35">
      <c r="A71">
        <v>70</v>
      </c>
      <c r="B71" t="s">
        <v>50</v>
      </c>
      <c r="C71" t="s">
        <v>45</v>
      </c>
      <c r="D71" t="s">
        <v>53</v>
      </c>
      <c r="E71">
        <v>0</v>
      </c>
      <c r="F71" t="s">
        <v>11</v>
      </c>
      <c r="G71" t="s">
        <v>12</v>
      </c>
      <c r="H71" t="s">
        <v>11</v>
      </c>
      <c r="I71" t="s">
        <v>11</v>
      </c>
      <c r="J71" t="s">
        <v>12</v>
      </c>
    </row>
    <row r="72" spans="1:10" x14ac:dyDescent="0.35">
      <c r="A72">
        <v>71</v>
      </c>
      <c r="B72" t="s">
        <v>50</v>
      </c>
      <c r="C72" t="s">
        <v>45</v>
      </c>
      <c r="D72" t="s">
        <v>53</v>
      </c>
      <c r="E72">
        <v>0</v>
      </c>
      <c r="F72" t="s">
        <v>11</v>
      </c>
      <c r="G72" t="s">
        <v>12</v>
      </c>
      <c r="H72" t="s">
        <v>12</v>
      </c>
      <c r="I72" t="s">
        <v>12</v>
      </c>
      <c r="J72" t="s">
        <v>12</v>
      </c>
    </row>
    <row r="73" spans="1:10" x14ac:dyDescent="0.35">
      <c r="A73">
        <v>72</v>
      </c>
      <c r="B73" t="s">
        <v>44</v>
      </c>
      <c r="C73" t="s">
        <v>47</v>
      </c>
      <c r="D73" t="s">
        <v>53</v>
      </c>
      <c r="E73">
        <v>0</v>
      </c>
      <c r="F73" t="s">
        <v>11</v>
      </c>
      <c r="G73" t="s">
        <v>11</v>
      </c>
      <c r="H73" t="s">
        <v>11</v>
      </c>
      <c r="I73" t="s">
        <v>12</v>
      </c>
      <c r="J73" t="s">
        <v>12</v>
      </c>
    </row>
    <row r="74" spans="1:10" x14ac:dyDescent="0.35">
      <c r="A74">
        <v>73</v>
      </c>
      <c r="B74" t="s">
        <v>50</v>
      </c>
      <c r="C74" t="s">
        <v>47</v>
      </c>
      <c r="D74" t="s">
        <v>46</v>
      </c>
      <c r="E74">
        <v>2</v>
      </c>
      <c r="F74" t="s">
        <v>12</v>
      </c>
      <c r="G74" t="s">
        <v>12</v>
      </c>
      <c r="H74" t="s">
        <v>11</v>
      </c>
      <c r="I74" t="s">
        <v>11</v>
      </c>
      <c r="J74" t="s">
        <v>12</v>
      </c>
    </row>
    <row r="75" spans="1:10" x14ac:dyDescent="0.35">
      <c r="A75">
        <v>74</v>
      </c>
      <c r="B75" t="s">
        <v>50</v>
      </c>
      <c r="C75" t="s">
        <v>47</v>
      </c>
      <c r="D75" t="s">
        <v>52</v>
      </c>
      <c r="E75">
        <v>0</v>
      </c>
      <c r="F75" t="s">
        <v>11</v>
      </c>
      <c r="G75" t="s">
        <v>11</v>
      </c>
      <c r="H75" t="s">
        <v>11</v>
      </c>
      <c r="I75" t="s">
        <v>12</v>
      </c>
      <c r="J75" t="s">
        <v>12</v>
      </c>
    </row>
    <row r="76" spans="1:10" x14ac:dyDescent="0.35">
      <c r="A76">
        <v>75</v>
      </c>
      <c r="B76" t="s">
        <v>48</v>
      </c>
      <c r="C76" t="s">
        <v>47</v>
      </c>
      <c r="D76" t="s">
        <v>46</v>
      </c>
      <c r="E76">
        <v>0</v>
      </c>
      <c r="F76" t="s">
        <v>12</v>
      </c>
      <c r="G76" t="s">
        <v>12</v>
      </c>
      <c r="H76" t="s">
        <v>12</v>
      </c>
      <c r="I76" t="s">
        <v>12</v>
      </c>
      <c r="J76" t="s">
        <v>12</v>
      </c>
    </row>
    <row r="77" spans="1:10" x14ac:dyDescent="0.35">
      <c r="A77">
        <v>76</v>
      </c>
      <c r="B77" t="s">
        <v>48</v>
      </c>
      <c r="C77" t="s">
        <v>47</v>
      </c>
      <c r="D77" t="s">
        <v>46</v>
      </c>
      <c r="E77">
        <v>0</v>
      </c>
      <c r="F77" t="s">
        <v>11</v>
      </c>
      <c r="G77" t="s">
        <v>12</v>
      </c>
      <c r="H77" t="s">
        <v>12</v>
      </c>
      <c r="I77" t="s">
        <v>12</v>
      </c>
      <c r="J77" t="s">
        <v>12</v>
      </c>
    </row>
    <row r="78" spans="1:10" x14ac:dyDescent="0.35">
      <c r="A78">
        <v>77</v>
      </c>
      <c r="B78" t="s">
        <v>44</v>
      </c>
      <c r="C78" t="s">
        <v>45</v>
      </c>
      <c r="D78" t="s">
        <v>53</v>
      </c>
      <c r="E78">
        <v>0</v>
      </c>
      <c r="F78" t="s">
        <v>11</v>
      </c>
      <c r="G78" t="s">
        <v>11</v>
      </c>
      <c r="H78" t="s">
        <v>11</v>
      </c>
      <c r="I78" t="s">
        <v>12</v>
      </c>
      <c r="J78" t="s">
        <v>12</v>
      </c>
    </row>
    <row r="79" spans="1:10" x14ac:dyDescent="0.35">
      <c r="A79">
        <v>78</v>
      </c>
      <c r="B79" t="s">
        <v>50</v>
      </c>
      <c r="C79" t="s">
        <v>47</v>
      </c>
      <c r="D79" t="s">
        <v>53</v>
      </c>
      <c r="E79">
        <v>0</v>
      </c>
      <c r="F79" t="s">
        <v>11</v>
      </c>
      <c r="G79" t="s">
        <v>11</v>
      </c>
      <c r="H79" t="s">
        <v>12</v>
      </c>
      <c r="I79" t="s">
        <v>12</v>
      </c>
      <c r="J79" t="s">
        <v>12</v>
      </c>
    </row>
    <row r="80" spans="1:10" x14ac:dyDescent="0.35">
      <c r="A80">
        <v>79</v>
      </c>
      <c r="B80" t="s">
        <v>48</v>
      </c>
      <c r="C80" t="s">
        <v>45</v>
      </c>
      <c r="D80" t="s">
        <v>52</v>
      </c>
      <c r="E80">
        <v>3</v>
      </c>
      <c r="F80" t="s">
        <v>12</v>
      </c>
      <c r="G80" t="s">
        <v>12</v>
      </c>
      <c r="H80" t="s">
        <v>11</v>
      </c>
      <c r="I80" t="s">
        <v>12</v>
      </c>
      <c r="J80" t="s">
        <v>11</v>
      </c>
    </row>
    <row r="81" spans="1:10" x14ac:dyDescent="0.35">
      <c r="A81">
        <v>80</v>
      </c>
      <c r="B81" t="s">
        <v>44</v>
      </c>
      <c r="C81" t="s">
        <v>47</v>
      </c>
      <c r="D81" t="s">
        <v>46</v>
      </c>
      <c r="E81">
        <v>0</v>
      </c>
      <c r="F81" t="s">
        <v>11</v>
      </c>
      <c r="G81" t="s">
        <v>12</v>
      </c>
      <c r="H81" t="s">
        <v>11</v>
      </c>
      <c r="I81" t="s">
        <v>12</v>
      </c>
      <c r="J81" t="s">
        <v>12</v>
      </c>
    </row>
    <row r="82" spans="1:10" x14ac:dyDescent="0.35">
      <c r="A82">
        <v>81</v>
      </c>
      <c r="B82" t="s">
        <v>44</v>
      </c>
      <c r="C82" t="s">
        <v>47</v>
      </c>
      <c r="D82" t="s">
        <v>52</v>
      </c>
      <c r="E82">
        <v>0</v>
      </c>
      <c r="F82" t="s">
        <v>12</v>
      </c>
      <c r="G82" t="s">
        <v>12</v>
      </c>
      <c r="H82" t="s">
        <v>12</v>
      </c>
      <c r="I82" t="s">
        <v>11</v>
      </c>
      <c r="J82" t="s">
        <v>12</v>
      </c>
    </row>
    <row r="83" spans="1:10" x14ac:dyDescent="0.35">
      <c r="A83">
        <v>82</v>
      </c>
      <c r="B83" t="s">
        <v>48</v>
      </c>
      <c r="C83" t="s">
        <v>47</v>
      </c>
      <c r="D83" t="s">
        <v>49</v>
      </c>
      <c r="E83">
        <v>0</v>
      </c>
      <c r="F83" t="s">
        <v>12</v>
      </c>
      <c r="G83" t="s">
        <v>11</v>
      </c>
      <c r="H83" t="s">
        <v>12</v>
      </c>
      <c r="I83" t="s">
        <v>11</v>
      </c>
      <c r="J83" t="s">
        <v>12</v>
      </c>
    </row>
    <row r="84" spans="1:10" x14ac:dyDescent="0.35">
      <c r="A84">
        <v>83</v>
      </c>
      <c r="B84" t="s">
        <v>50</v>
      </c>
      <c r="C84" t="s">
        <v>47</v>
      </c>
      <c r="D84" t="s">
        <v>46</v>
      </c>
      <c r="E84">
        <v>0</v>
      </c>
      <c r="F84" t="s">
        <v>11</v>
      </c>
      <c r="G84" t="s">
        <v>12</v>
      </c>
      <c r="H84" t="s">
        <v>12</v>
      </c>
      <c r="I84" t="s">
        <v>12</v>
      </c>
      <c r="J84" t="s">
        <v>12</v>
      </c>
    </row>
    <row r="85" spans="1:10" x14ac:dyDescent="0.35">
      <c r="A85">
        <v>84</v>
      </c>
      <c r="B85" t="s">
        <v>48</v>
      </c>
      <c r="C85" t="s">
        <v>45</v>
      </c>
      <c r="D85" t="s">
        <v>46</v>
      </c>
      <c r="E85">
        <v>0</v>
      </c>
      <c r="F85" t="s">
        <v>11</v>
      </c>
      <c r="G85" t="s">
        <v>11</v>
      </c>
      <c r="H85" t="s">
        <v>12</v>
      </c>
      <c r="I85" t="s">
        <v>12</v>
      </c>
      <c r="J85" t="s">
        <v>12</v>
      </c>
    </row>
    <row r="86" spans="1:10" x14ac:dyDescent="0.35">
      <c r="A86">
        <v>85</v>
      </c>
      <c r="B86" t="s">
        <v>48</v>
      </c>
      <c r="C86" t="s">
        <v>47</v>
      </c>
      <c r="D86" t="s">
        <v>46</v>
      </c>
      <c r="E86">
        <v>0</v>
      </c>
      <c r="F86" t="s">
        <v>11</v>
      </c>
      <c r="G86" t="s">
        <v>12</v>
      </c>
      <c r="H86" t="s">
        <v>11</v>
      </c>
      <c r="I86" t="s">
        <v>11</v>
      </c>
      <c r="J86" t="s">
        <v>12</v>
      </c>
    </row>
    <row r="87" spans="1:10" x14ac:dyDescent="0.35">
      <c r="A87">
        <v>86</v>
      </c>
      <c r="B87" t="s">
        <v>50</v>
      </c>
      <c r="C87" t="s">
        <v>45</v>
      </c>
      <c r="D87" t="s">
        <v>46</v>
      </c>
      <c r="E87">
        <v>2</v>
      </c>
      <c r="F87" t="s">
        <v>11</v>
      </c>
      <c r="G87" t="s">
        <v>11</v>
      </c>
      <c r="H87" t="s">
        <v>12</v>
      </c>
      <c r="I87" t="s">
        <v>12</v>
      </c>
      <c r="J87" t="s">
        <v>12</v>
      </c>
    </row>
    <row r="88" spans="1:10" x14ac:dyDescent="0.35">
      <c r="A88">
        <v>87</v>
      </c>
      <c r="B88" t="s">
        <v>44</v>
      </c>
      <c r="C88" t="s">
        <v>47</v>
      </c>
      <c r="D88" t="s">
        <v>46</v>
      </c>
      <c r="E88">
        <v>0</v>
      </c>
      <c r="F88" t="s">
        <v>11</v>
      </c>
      <c r="G88" t="s">
        <v>12</v>
      </c>
      <c r="H88" t="s">
        <v>11</v>
      </c>
      <c r="I88" t="s">
        <v>12</v>
      </c>
      <c r="J88" t="s">
        <v>12</v>
      </c>
    </row>
    <row r="89" spans="1:10" x14ac:dyDescent="0.35">
      <c r="A89">
        <v>88</v>
      </c>
      <c r="B89" t="s">
        <v>50</v>
      </c>
      <c r="C89" t="s">
        <v>47</v>
      </c>
      <c r="D89" t="s">
        <v>49</v>
      </c>
      <c r="E89">
        <v>0</v>
      </c>
      <c r="F89" t="s">
        <v>11</v>
      </c>
      <c r="G89" t="s">
        <v>12</v>
      </c>
      <c r="H89" t="s">
        <v>11</v>
      </c>
      <c r="I89" t="s">
        <v>12</v>
      </c>
      <c r="J89" t="s">
        <v>12</v>
      </c>
    </row>
    <row r="90" spans="1:10" x14ac:dyDescent="0.35">
      <c r="A90">
        <v>89</v>
      </c>
      <c r="B90" t="s">
        <v>50</v>
      </c>
      <c r="C90" t="s">
        <v>45</v>
      </c>
      <c r="D90" t="s">
        <v>46</v>
      </c>
      <c r="E90">
        <v>1</v>
      </c>
      <c r="F90" t="s">
        <v>11</v>
      </c>
      <c r="G90" t="s">
        <v>11</v>
      </c>
      <c r="H90" t="s">
        <v>12</v>
      </c>
      <c r="I90" t="s">
        <v>11</v>
      </c>
      <c r="J90" t="s">
        <v>12</v>
      </c>
    </row>
    <row r="91" spans="1:10" x14ac:dyDescent="0.35">
      <c r="A91">
        <v>90</v>
      </c>
      <c r="B91" t="s">
        <v>50</v>
      </c>
      <c r="C91" t="s">
        <v>47</v>
      </c>
      <c r="D91" t="s">
        <v>46</v>
      </c>
      <c r="E91">
        <v>0</v>
      </c>
      <c r="F91" t="s">
        <v>11</v>
      </c>
      <c r="G91" t="s">
        <v>12</v>
      </c>
      <c r="H91" t="s">
        <v>11</v>
      </c>
      <c r="I91" t="s">
        <v>12</v>
      </c>
      <c r="J91" t="s">
        <v>12</v>
      </c>
    </row>
    <row r="92" spans="1:10" x14ac:dyDescent="0.35">
      <c r="A92">
        <v>91</v>
      </c>
      <c r="B92" t="s">
        <v>48</v>
      </c>
      <c r="C92" t="s">
        <v>47</v>
      </c>
      <c r="D92" t="s">
        <v>49</v>
      </c>
      <c r="E92">
        <v>0</v>
      </c>
      <c r="F92" t="s">
        <v>11</v>
      </c>
      <c r="G92" t="s">
        <v>12</v>
      </c>
      <c r="H92" t="s">
        <v>12</v>
      </c>
      <c r="I92" t="s">
        <v>12</v>
      </c>
      <c r="J92" t="s">
        <v>12</v>
      </c>
    </row>
    <row r="93" spans="1:10" x14ac:dyDescent="0.35">
      <c r="A93">
        <v>92</v>
      </c>
      <c r="B93" t="s">
        <v>50</v>
      </c>
      <c r="C93" t="s">
        <v>47</v>
      </c>
      <c r="D93" t="s">
        <v>52</v>
      </c>
      <c r="E93">
        <v>0</v>
      </c>
      <c r="F93" t="s">
        <v>11</v>
      </c>
      <c r="G93" t="s">
        <v>11</v>
      </c>
      <c r="H93" t="s">
        <v>12</v>
      </c>
      <c r="I93" t="s">
        <v>12</v>
      </c>
      <c r="J93" t="s">
        <v>12</v>
      </c>
    </row>
    <row r="94" spans="1:10" x14ac:dyDescent="0.35">
      <c r="A94">
        <v>93</v>
      </c>
      <c r="B94" t="s">
        <v>48</v>
      </c>
      <c r="C94" t="s">
        <v>47</v>
      </c>
      <c r="D94" t="s">
        <v>46</v>
      </c>
      <c r="E94">
        <v>0</v>
      </c>
      <c r="F94" t="s">
        <v>12</v>
      </c>
      <c r="G94" t="s">
        <v>12</v>
      </c>
      <c r="H94" t="s">
        <v>11</v>
      </c>
      <c r="I94" t="s">
        <v>12</v>
      </c>
      <c r="J94" t="s">
        <v>12</v>
      </c>
    </row>
    <row r="95" spans="1:10" x14ac:dyDescent="0.35">
      <c r="A95">
        <v>94</v>
      </c>
      <c r="B95" t="s">
        <v>48</v>
      </c>
      <c r="C95" t="s">
        <v>45</v>
      </c>
      <c r="D95" t="s">
        <v>46</v>
      </c>
      <c r="E95">
        <v>0</v>
      </c>
      <c r="F95" t="s">
        <v>11</v>
      </c>
      <c r="G95" t="s">
        <v>12</v>
      </c>
      <c r="H95" t="s">
        <v>12</v>
      </c>
      <c r="I95" t="s">
        <v>12</v>
      </c>
      <c r="J95" t="s">
        <v>12</v>
      </c>
    </row>
    <row r="96" spans="1:10" x14ac:dyDescent="0.35">
      <c r="A96">
        <v>95</v>
      </c>
      <c r="B96" t="s">
        <v>50</v>
      </c>
      <c r="C96" t="s">
        <v>47</v>
      </c>
      <c r="D96" t="s">
        <v>53</v>
      </c>
      <c r="E96">
        <v>0</v>
      </c>
      <c r="F96" t="s">
        <v>11</v>
      </c>
      <c r="G96" t="s">
        <v>12</v>
      </c>
      <c r="H96" t="s">
        <v>11</v>
      </c>
      <c r="I96" t="s">
        <v>12</v>
      </c>
      <c r="J96" t="s">
        <v>12</v>
      </c>
    </row>
    <row r="97" spans="1:10" x14ac:dyDescent="0.35">
      <c r="A97">
        <v>96</v>
      </c>
      <c r="B97" t="s">
        <v>48</v>
      </c>
      <c r="C97" t="s">
        <v>45</v>
      </c>
      <c r="D97" t="s">
        <v>53</v>
      </c>
      <c r="E97">
        <v>1</v>
      </c>
      <c r="F97" t="s">
        <v>12</v>
      </c>
      <c r="G97" t="s">
        <v>12</v>
      </c>
      <c r="H97" t="s">
        <v>12</v>
      </c>
      <c r="I97" t="s">
        <v>12</v>
      </c>
      <c r="J97" t="s">
        <v>12</v>
      </c>
    </row>
    <row r="98" spans="1:10" x14ac:dyDescent="0.35">
      <c r="A98">
        <v>97</v>
      </c>
      <c r="B98" t="s">
        <v>50</v>
      </c>
      <c r="C98" t="s">
        <v>45</v>
      </c>
      <c r="D98" t="s">
        <v>52</v>
      </c>
      <c r="E98">
        <v>0</v>
      </c>
      <c r="F98" t="s">
        <v>12</v>
      </c>
      <c r="G98" t="s">
        <v>12</v>
      </c>
      <c r="H98" t="s">
        <v>11</v>
      </c>
      <c r="I98" t="s">
        <v>11</v>
      </c>
      <c r="J98" t="s">
        <v>12</v>
      </c>
    </row>
    <row r="99" spans="1:10" x14ac:dyDescent="0.35">
      <c r="A99">
        <v>98</v>
      </c>
      <c r="B99" t="s">
        <v>44</v>
      </c>
      <c r="C99" t="s">
        <v>47</v>
      </c>
      <c r="D99" t="s">
        <v>46</v>
      </c>
      <c r="E99">
        <v>0</v>
      </c>
      <c r="F99" t="s">
        <v>11</v>
      </c>
      <c r="G99" t="s">
        <v>12</v>
      </c>
      <c r="H99" t="s">
        <v>12</v>
      </c>
      <c r="I99" t="s">
        <v>12</v>
      </c>
      <c r="J99" t="s">
        <v>12</v>
      </c>
    </row>
    <row r="100" spans="1:10" x14ac:dyDescent="0.35">
      <c r="A100">
        <v>99</v>
      </c>
      <c r="B100" t="s">
        <v>50</v>
      </c>
      <c r="C100" t="s">
        <v>47</v>
      </c>
      <c r="D100" t="s">
        <v>52</v>
      </c>
      <c r="E100">
        <v>0</v>
      </c>
      <c r="F100" t="s">
        <v>11</v>
      </c>
      <c r="G100" t="s">
        <v>11</v>
      </c>
      <c r="H100" t="s">
        <v>11</v>
      </c>
      <c r="I100" t="s">
        <v>11</v>
      </c>
      <c r="J100" t="s">
        <v>12</v>
      </c>
    </row>
    <row r="101" spans="1:10" x14ac:dyDescent="0.35">
      <c r="A101">
        <v>100</v>
      </c>
      <c r="B101" t="s">
        <v>44</v>
      </c>
      <c r="C101" t="s">
        <v>47</v>
      </c>
      <c r="D101" t="s">
        <v>49</v>
      </c>
      <c r="E101">
        <v>0</v>
      </c>
      <c r="F101" t="s">
        <v>12</v>
      </c>
      <c r="G101" t="s">
        <v>12</v>
      </c>
      <c r="H101" t="s">
        <v>12</v>
      </c>
      <c r="I101" t="s">
        <v>12</v>
      </c>
      <c r="J101" t="s">
        <v>12</v>
      </c>
    </row>
    <row r="102" spans="1:10" x14ac:dyDescent="0.35">
      <c r="A102">
        <v>101</v>
      </c>
      <c r="B102" t="s">
        <v>27</v>
      </c>
      <c r="C102" t="s">
        <v>47</v>
      </c>
      <c r="D102" t="s">
        <v>52</v>
      </c>
      <c r="E102">
        <v>0</v>
      </c>
      <c r="F102" t="s">
        <v>12</v>
      </c>
      <c r="G102" t="s">
        <v>12</v>
      </c>
      <c r="H102" t="s">
        <v>12</v>
      </c>
      <c r="I102" t="s">
        <v>12</v>
      </c>
      <c r="J102" t="s">
        <v>12</v>
      </c>
    </row>
    <row r="103" spans="1:10" x14ac:dyDescent="0.35">
      <c r="A103">
        <v>102</v>
      </c>
      <c r="B103" t="s">
        <v>27</v>
      </c>
      <c r="C103" t="s">
        <v>47</v>
      </c>
      <c r="D103" t="s">
        <v>49</v>
      </c>
      <c r="E103">
        <v>0</v>
      </c>
      <c r="F103" t="s">
        <v>11</v>
      </c>
      <c r="G103" t="s">
        <v>12</v>
      </c>
      <c r="H103" t="s">
        <v>11</v>
      </c>
      <c r="I103" t="s">
        <v>12</v>
      </c>
      <c r="J103" t="s">
        <v>12</v>
      </c>
    </row>
    <row r="104" spans="1:10" x14ac:dyDescent="0.35">
      <c r="A104">
        <v>103</v>
      </c>
      <c r="B104" t="s">
        <v>44</v>
      </c>
      <c r="C104" t="s">
        <v>47</v>
      </c>
      <c r="D104" t="s">
        <v>52</v>
      </c>
      <c r="E104">
        <v>0</v>
      </c>
      <c r="F104" t="s">
        <v>11</v>
      </c>
      <c r="G104" t="s">
        <v>12</v>
      </c>
      <c r="H104" t="s">
        <v>11</v>
      </c>
      <c r="I104" t="s">
        <v>11</v>
      </c>
      <c r="J104" t="s">
        <v>12</v>
      </c>
    </row>
    <row r="105" spans="1:10" x14ac:dyDescent="0.35">
      <c r="A105">
        <v>104</v>
      </c>
      <c r="B105" t="s">
        <v>48</v>
      </c>
      <c r="C105" t="s">
        <v>45</v>
      </c>
      <c r="D105" t="s">
        <v>46</v>
      </c>
      <c r="E105">
        <v>0</v>
      </c>
      <c r="F105" t="s">
        <v>12</v>
      </c>
      <c r="G105" t="s">
        <v>12</v>
      </c>
      <c r="H105" t="s">
        <v>12</v>
      </c>
      <c r="I105" t="s">
        <v>12</v>
      </c>
      <c r="J105" t="s">
        <v>12</v>
      </c>
    </row>
    <row r="106" spans="1:10" x14ac:dyDescent="0.35">
      <c r="A106">
        <v>105</v>
      </c>
      <c r="B106" t="s">
        <v>44</v>
      </c>
      <c r="C106" t="s">
        <v>47</v>
      </c>
      <c r="D106" t="s">
        <v>46</v>
      </c>
      <c r="E106">
        <v>0</v>
      </c>
      <c r="F106" t="s">
        <v>11</v>
      </c>
      <c r="G106" t="s">
        <v>12</v>
      </c>
      <c r="H106" t="s">
        <v>12</v>
      </c>
      <c r="I106" t="s">
        <v>12</v>
      </c>
      <c r="J106" t="s">
        <v>12</v>
      </c>
    </row>
    <row r="107" spans="1:10" x14ac:dyDescent="0.35">
      <c r="A107">
        <v>106</v>
      </c>
      <c r="B107" t="s">
        <v>50</v>
      </c>
      <c r="C107" t="s">
        <v>47</v>
      </c>
      <c r="D107" t="s">
        <v>53</v>
      </c>
      <c r="E107">
        <v>0</v>
      </c>
      <c r="F107" t="s">
        <v>12</v>
      </c>
      <c r="G107" t="s">
        <v>11</v>
      </c>
      <c r="H107" t="s">
        <v>11</v>
      </c>
      <c r="I107" t="s">
        <v>12</v>
      </c>
      <c r="J107" t="s">
        <v>12</v>
      </c>
    </row>
    <row r="108" spans="1:10" x14ac:dyDescent="0.35">
      <c r="A108">
        <v>107</v>
      </c>
      <c r="B108" t="s">
        <v>44</v>
      </c>
      <c r="C108" t="s">
        <v>47</v>
      </c>
      <c r="D108" t="s">
        <v>53</v>
      </c>
      <c r="E108">
        <v>0</v>
      </c>
      <c r="F108" t="s">
        <v>12</v>
      </c>
      <c r="G108" t="s">
        <v>12</v>
      </c>
      <c r="H108" t="s">
        <v>12</v>
      </c>
      <c r="I108" t="s">
        <v>12</v>
      </c>
      <c r="J108" t="s">
        <v>12</v>
      </c>
    </row>
    <row r="109" spans="1:10" x14ac:dyDescent="0.35">
      <c r="A109">
        <v>108</v>
      </c>
      <c r="B109" t="s">
        <v>48</v>
      </c>
      <c r="C109" t="s">
        <v>47</v>
      </c>
      <c r="D109" t="s">
        <v>49</v>
      </c>
      <c r="E109">
        <v>0</v>
      </c>
      <c r="F109" t="s">
        <v>11</v>
      </c>
      <c r="G109" t="s">
        <v>12</v>
      </c>
      <c r="H109" t="s">
        <v>11</v>
      </c>
      <c r="I109" t="s">
        <v>12</v>
      </c>
      <c r="J109" t="s">
        <v>12</v>
      </c>
    </row>
    <row r="110" spans="1:10" x14ac:dyDescent="0.35">
      <c r="A110">
        <v>109</v>
      </c>
      <c r="B110" t="s">
        <v>48</v>
      </c>
      <c r="C110" t="s">
        <v>54</v>
      </c>
      <c r="D110" t="s">
        <v>53</v>
      </c>
      <c r="E110">
        <v>0</v>
      </c>
      <c r="F110" t="s">
        <v>11</v>
      </c>
      <c r="G110" t="s">
        <v>12</v>
      </c>
      <c r="H110" t="s">
        <v>12</v>
      </c>
      <c r="I110" t="s">
        <v>12</v>
      </c>
      <c r="J110" t="s">
        <v>12</v>
      </c>
    </row>
    <row r="111" spans="1:10" x14ac:dyDescent="0.35">
      <c r="A111">
        <v>110</v>
      </c>
      <c r="B111" t="s">
        <v>27</v>
      </c>
      <c r="C111" t="s">
        <v>47</v>
      </c>
      <c r="D111" t="s">
        <v>49</v>
      </c>
      <c r="E111">
        <v>0</v>
      </c>
      <c r="F111" t="s">
        <v>11</v>
      </c>
      <c r="G111" t="s">
        <v>12</v>
      </c>
      <c r="H111" t="s">
        <v>12</v>
      </c>
      <c r="I111" t="s">
        <v>12</v>
      </c>
      <c r="J111" t="s">
        <v>12</v>
      </c>
    </row>
    <row r="112" spans="1:10" x14ac:dyDescent="0.35">
      <c r="A112">
        <v>111</v>
      </c>
      <c r="B112" t="s">
        <v>44</v>
      </c>
      <c r="C112" t="s">
        <v>47</v>
      </c>
      <c r="D112" t="s">
        <v>52</v>
      </c>
      <c r="E112">
        <v>0</v>
      </c>
      <c r="F112" t="s">
        <v>11</v>
      </c>
      <c r="G112" t="s">
        <v>11</v>
      </c>
      <c r="H112" t="s">
        <v>11</v>
      </c>
      <c r="I112" t="s">
        <v>12</v>
      </c>
      <c r="J112" t="s">
        <v>12</v>
      </c>
    </row>
    <row r="113" spans="1:10" x14ac:dyDescent="0.35">
      <c r="A113">
        <v>112</v>
      </c>
      <c r="B113" t="s">
        <v>50</v>
      </c>
      <c r="C113" t="s">
        <v>47</v>
      </c>
      <c r="D113" t="s">
        <v>49</v>
      </c>
      <c r="E113">
        <v>1</v>
      </c>
      <c r="F113" t="s">
        <v>12</v>
      </c>
      <c r="G113" t="s">
        <v>12</v>
      </c>
      <c r="H113" t="s">
        <v>11</v>
      </c>
      <c r="I113" t="s">
        <v>12</v>
      </c>
      <c r="J113" t="s">
        <v>12</v>
      </c>
    </row>
    <row r="114" spans="1:10" x14ac:dyDescent="0.35">
      <c r="A114">
        <v>113</v>
      </c>
      <c r="B114" t="s">
        <v>48</v>
      </c>
      <c r="C114" t="s">
        <v>47</v>
      </c>
      <c r="D114" t="s">
        <v>46</v>
      </c>
      <c r="E114">
        <v>1</v>
      </c>
      <c r="F114" t="s">
        <v>12</v>
      </c>
      <c r="G114" t="s">
        <v>11</v>
      </c>
      <c r="H114" t="s">
        <v>11</v>
      </c>
      <c r="I114" t="s">
        <v>12</v>
      </c>
      <c r="J114" t="s">
        <v>12</v>
      </c>
    </row>
    <row r="115" spans="1:10" x14ac:dyDescent="0.35">
      <c r="A115">
        <v>114</v>
      </c>
      <c r="B115" t="s">
        <v>44</v>
      </c>
      <c r="C115" t="s">
        <v>47</v>
      </c>
      <c r="D115" t="s">
        <v>52</v>
      </c>
      <c r="E115">
        <v>0</v>
      </c>
      <c r="F115" t="s">
        <v>11</v>
      </c>
      <c r="G115" t="s">
        <v>11</v>
      </c>
      <c r="H115" t="s">
        <v>11</v>
      </c>
      <c r="I115" t="s">
        <v>12</v>
      </c>
      <c r="J115" t="s">
        <v>12</v>
      </c>
    </row>
    <row r="116" spans="1:10" x14ac:dyDescent="0.35">
      <c r="A116">
        <v>115</v>
      </c>
      <c r="B116" t="s">
        <v>50</v>
      </c>
      <c r="C116" t="s">
        <v>47</v>
      </c>
      <c r="D116" t="s">
        <v>46</v>
      </c>
      <c r="E116">
        <v>0</v>
      </c>
      <c r="F116" t="s">
        <v>11</v>
      </c>
      <c r="G116" t="s">
        <v>11</v>
      </c>
      <c r="H116" t="s">
        <v>11</v>
      </c>
      <c r="I116" t="s">
        <v>12</v>
      </c>
      <c r="J116" t="s">
        <v>12</v>
      </c>
    </row>
    <row r="117" spans="1:10" x14ac:dyDescent="0.35">
      <c r="A117">
        <v>116</v>
      </c>
      <c r="B117" t="s">
        <v>44</v>
      </c>
      <c r="C117" t="s">
        <v>47</v>
      </c>
      <c r="D117" t="s">
        <v>46</v>
      </c>
      <c r="E117">
        <v>0</v>
      </c>
      <c r="F117" t="s">
        <v>11</v>
      </c>
      <c r="G117" t="s">
        <v>12</v>
      </c>
      <c r="H117" t="s">
        <v>11</v>
      </c>
      <c r="I117" t="s">
        <v>12</v>
      </c>
      <c r="J117" t="s">
        <v>12</v>
      </c>
    </row>
    <row r="118" spans="1:10" x14ac:dyDescent="0.35">
      <c r="A118">
        <v>117</v>
      </c>
      <c r="B118" t="s">
        <v>50</v>
      </c>
      <c r="C118" t="s">
        <v>45</v>
      </c>
      <c r="D118" t="s">
        <v>46</v>
      </c>
      <c r="E118">
        <v>0</v>
      </c>
      <c r="F118" t="s">
        <v>11</v>
      </c>
      <c r="G118" t="s">
        <v>12</v>
      </c>
      <c r="H118" t="s">
        <v>11</v>
      </c>
      <c r="I118" t="s">
        <v>12</v>
      </c>
      <c r="J118" t="s">
        <v>12</v>
      </c>
    </row>
    <row r="119" spans="1:10" x14ac:dyDescent="0.35">
      <c r="A119">
        <v>118</v>
      </c>
      <c r="B119" t="s">
        <v>48</v>
      </c>
      <c r="C119" t="s">
        <v>45</v>
      </c>
      <c r="D119" t="s">
        <v>52</v>
      </c>
      <c r="E119">
        <v>0</v>
      </c>
      <c r="F119" t="s">
        <v>11</v>
      </c>
      <c r="G119" t="s">
        <v>11</v>
      </c>
      <c r="H119" t="s">
        <v>11</v>
      </c>
      <c r="I119" t="s">
        <v>12</v>
      </c>
      <c r="J119" t="s">
        <v>12</v>
      </c>
    </row>
    <row r="120" spans="1:10" x14ac:dyDescent="0.35">
      <c r="A120">
        <v>119</v>
      </c>
      <c r="B120" t="s">
        <v>44</v>
      </c>
      <c r="C120" t="s">
        <v>51</v>
      </c>
      <c r="D120" t="s">
        <v>46</v>
      </c>
      <c r="E120">
        <v>1</v>
      </c>
      <c r="F120" t="s">
        <v>11</v>
      </c>
      <c r="G120" t="s">
        <v>12</v>
      </c>
      <c r="H120" t="s">
        <v>11</v>
      </c>
      <c r="I120" t="s">
        <v>12</v>
      </c>
      <c r="J120" t="s">
        <v>12</v>
      </c>
    </row>
    <row r="121" spans="1:10" x14ac:dyDescent="0.35">
      <c r="A121">
        <v>120</v>
      </c>
      <c r="B121" t="s">
        <v>50</v>
      </c>
      <c r="C121" t="s">
        <v>47</v>
      </c>
      <c r="D121" t="s">
        <v>52</v>
      </c>
      <c r="E121">
        <v>0</v>
      </c>
      <c r="F121" t="s">
        <v>11</v>
      </c>
      <c r="G121" t="s">
        <v>11</v>
      </c>
      <c r="H121" t="s">
        <v>11</v>
      </c>
      <c r="I121" t="s">
        <v>12</v>
      </c>
      <c r="J121" t="s">
        <v>12</v>
      </c>
    </row>
    <row r="122" spans="1:10" x14ac:dyDescent="0.35">
      <c r="A122">
        <v>121</v>
      </c>
      <c r="B122" t="s">
        <v>44</v>
      </c>
      <c r="C122" t="s">
        <v>47</v>
      </c>
      <c r="D122" t="s">
        <v>46</v>
      </c>
      <c r="E122">
        <v>0</v>
      </c>
      <c r="F122" t="s">
        <v>11</v>
      </c>
      <c r="G122" t="s">
        <v>11</v>
      </c>
      <c r="H122" t="s">
        <v>11</v>
      </c>
      <c r="I122" t="s">
        <v>11</v>
      </c>
      <c r="J122" t="s">
        <v>12</v>
      </c>
    </row>
    <row r="123" spans="1:10" x14ac:dyDescent="0.35">
      <c r="A123">
        <v>122</v>
      </c>
      <c r="B123" t="s">
        <v>48</v>
      </c>
      <c r="C123" t="s">
        <v>47</v>
      </c>
      <c r="D123" t="s">
        <v>53</v>
      </c>
      <c r="E123">
        <v>0</v>
      </c>
      <c r="F123" t="s">
        <v>11</v>
      </c>
      <c r="G123" t="s">
        <v>12</v>
      </c>
      <c r="H123" t="s">
        <v>12</v>
      </c>
      <c r="I123" t="s">
        <v>12</v>
      </c>
      <c r="J123" t="s">
        <v>12</v>
      </c>
    </row>
    <row r="124" spans="1:10" x14ac:dyDescent="0.35">
      <c r="A124">
        <v>123</v>
      </c>
      <c r="B124" t="s">
        <v>44</v>
      </c>
      <c r="C124" t="s">
        <v>45</v>
      </c>
      <c r="D124" t="s">
        <v>46</v>
      </c>
      <c r="E124">
        <v>0</v>
      </c>
      <c r="F124" t="s">
        <v>11</v>
      </c>
      <c r="G124" t="s">
        <v>12</v>
      </c>
      <c r="H124" t="s">
        <v>12</v>
      </c>
      <c r="I124" t="s">
        <v>12</v>
      </c>
      <c r="J124" t="s">
        <v>12</v>
      </c>
    </row>
    <row r="125" spans="1:10" x14ac:dyDescent="0.35">
      <c r="A125">
        <v>124</v>
      </c>
      <c r="B125" t="s">
        <v>44</v>
      </c>
      <c r="C125" t="s">
        <v>47</v>
      </c>
      <c r="D125" t="s">
        <v>52</v>
      </c>
      <c r="E125">
        <v>0</v>
      </c>
      <c r="F125" t="s">
        <v>11</v>
      </c>
      <c r="G125" t="s">
        <v>12</v>
      </c>
      <c r="H125" t="s">
        <v>11</v>
      </c>
      <c r="I125" t="s">
        <v>12</v>
      </c>
      <c r="J125" t="s">
        <v>12</v>
      </c>
    </row>
    <row r="126" spans="1:10" x14ac:dyDescent="0.35">
      <c r="A126">
        <v>125</v>
      </c>
      <c r="B126" t="s">
        <v>48</v>
      </c>
      <c r="C126" t="s">
        <v>47</v>
      </c>
      <c r="D126" t="s">
        <v>46</v>
      </c>
      <c r="E126">
        <v>0</v>
      </c>
      <c r="F126" t="s">
        <v>11</v>
      </c>
      <c r="G126" t="s">
        <v>11</v>
      </c>
      <c r="H126" t="s">
        <v>12</v>
      </c>
      <c r="I126" t="s">
        <v>12</v>
      </c>
      <c r="J126" t="s">
        <v>12</v>
      </c>
    </row>
    <row r="127" spans="1:10" x14ac:dyDescent="0.35">
      <c r="A127">
        <v>126</v>
      </c>
      <c r="B127" t="s">
        <v>48</v>
      </c>
      <c r="C127" t="s">
        <v>47</v>
      </c>
      <c r="D127" t="s">
        <v>52</v>
      </c>
      <c r="E127">
        <v>0</v>
      </c>
      <c r="F127" t="s">
        <v>12</v>
      </c>
      <c r="G127" t="s">
        <v>11</v>
      </c>
      <c r="H127" t="s">
        <v>11</v>
      </c>
      <c r="I127" t="s">
        <v>12</v>
      </c>
      <c r="J127" t="s">
        <v>12</v>
      </c>
    </row>
    <row r="128" spans="1:10" x14ac:dyDescent="0.35">
      <c r="A128">
        <v>127</v>
      </c>
      <c r="B128" t="s">
        <v>48</v>
      </c>
      <c r="C128" t="s">
        <v>47</v>
      </c>
      <c r="D128" t="s">
        <v>46</v>
      </c>
      <c r="E128">
        <v>0</v>
      </c>
      <c r="F128" t="s">
        <v>12</v>
      </c>
      <c r="G128" t="s">
        <v>11</v>
      </c>
      <c r="H128" t="s">
        <v>11</v>
      </c>
      <c r="I128" t="s">
        <v>12</v>
      </c>
      <c r="J128" t="s">
        <v>12</v>
      </c>
    </row>
    <row r="129" spans="1:10" x14ac:dyDescent="0.35">
      <c r="A129">
        <v>128</v>
      </c>
      <c r="B129" t="s">
        <v>44</v>
      </c>
      <c r="C129" t="s">
        <v>47</v>
      </c>
      <c r="D129" t="s">
        <v>46</v>
      </c>
      <c r="E129">
        <v>3</v>
      </c>
      <c r="F129" t="s">
        <v>11</v>
      </c>
      <c r="G129" t="s">
        <v>12</v>
      </c>
      <c r="H129" t="s">
        <v>11</v>
      </c>
      <c r="I129" t="s">
        <v>11</v>
      </c>
      <c r="J129" t="s">
        <v>11</v>
      </c>
    </row>
    <row r="130" spans="1:10" x14ac:dyDescent="0.35">
      <c r="A130">
        <v>129</v>
      </c>
      <c r="B130" t="s">
        <v>50</v>
      </c>
      <c r="C130" t="s">
        <v>47</v>
      </c>
      <c r="D130" t="s">
        <v>52</v>
      </c>
      <c r="E130">
        <v>2</v>
      </c>
      <c r="F130" t="s">
        <v>11</v>
      </c>
      <c r="G130" t="s">
        <v>12</v>
      </c>
      <c r="H130" t="s">
        <v>11</v>
      </c>
      <c r="I130" t="s">
        <v>12</v>
      </c>
      <c r="J130" t="s">
        <v>12</v>
      </c>
    </row>
    <row r="131" spans="1:10" x14ac:dyDescent="0.35">
      <c r="A131">
        <v>130</v>
      </c>
      <c r="B131" t="s">
        <v>44</v>
      </c>
      <c r="C131" t="s">
        <v>47</v>
      </c>
      <c r="D131" t="s">
        <v>52</v>
      </c>
      <c r="E131">
        <v>0</v>
      </c>
      <c r="F131" t="s">
        <v>11</v>
      </c>
      <c r="G131" t="s">
        <v>11</v>
      </c>
      <c r="H131" t="s">
        <v>12</v>
      </c>
      <c r="I131" t="s">
        <v>12</v>
      </c>
      <c r="J131" t="s">
        <v>12</v>
      </c>
    </row>
    <row r="132" spans="1:10" x14ac:dyDescent="0.35">
      <c r="A132">
        <v>131</v>
      </c>
      <c r="B132" t="s">
        <v>44</v>
      </c>
      <c r="C132" t="s">
        <v>45</v>
      </c>
      <c r="D132" t="s">
        <v>49</v>
      </c>
      <c r="E132">
        <v>2</v>
      </c>
      <c r="F132" t="s">
        <v>11</v>
      </c>
      <c r="G132" t="s">
        <v>12</v>
      </c>
      <c r="H132" t="s">
        <v>11</v>
      </c>
      <c r="I132" t="s">
        <v>12</v>
      </c>
      <c r="J132" t="s">
        <v>12</v>
      </c>
    </row>
    <row r="133" spans="1:10" x14ac:dyDescent="0.35">
      <c r="A133">
        <v>132</v>
      </c>
      <c r="B133" t="s">
        <v>44</v>
      </c>
      <c r="C133" t="s">
        <v>51</v>
      </c>
      <c r="D133" t="s">
        <v>52</v>
      </c>
      <c r="E133">
        <v>0</v>
      </c>
      <c r="F133" t="s">
        <v>11</v>
      </c>
      <c r="G133" t="s">
        <v>12</v>
      </c>
      <c r="H133" t="s">
        <v>11</v>
      </c>
      <c r="I133" t="s">
        <v>11</v>
      </c>
      <c r="J133" t="s">
        <v>12</v>
      </c>
    </row>
    <row r="134" spans="1:10" x14ac:dyDescent="0.35">
      <c r="A134">
        <v>133</v>
      </c>
      <c r="B134" t="s">
        <v>44</v>
      </c>
      <c r="C134" t="s">
        <v>47</v>
      </c>
      <c r="D134" t="s">
        <v>52</v>
      </c>
      <c r="E134">
        <v>0</v>
      </c>
      <c r="F134" t="s">
        <v>11</v>
      </c>
      <c r="G134" t="s">
        <v>12</v>
      </c>
      <c r="H134" t="s">
        <v>11</v>
      </c>
      <c r="I134" t="s">
        <v>12</v>
      </c>
      <c r="J134" t="s">
        <v>12</v>
      </c>
    </row>
    <row r="135" spans="1:10" x14ac:dyDescent="0.35">
      <c r="A135">
        <v>134</v>
      </c>
      <c r="B135" t="s">
        <v>44</v>
      </c>
      <c r="C135" t="s">
        <v>47</v>
      </c>
      <c r="D135" t="s">
        <v>52</v>
      </c>
      <c r="E135">
        <v>0</v>
      </c>
      <c r="F135" t="s">
        <v>11</v>
      </c>
      <c r="G135" t="s">
        <v>11</v>
      </c>
      <c r="H135" t="s">
        <v>11</v>
      </c>
      <c r="I135" t="s">
        <v>12</v>
      </c>
      <c r="J135" t="s">
        <v>12</v>
      </c>
    </row>
    <row r="136" spans="1:10" x14ac:dyDescent="0.35">
      <c r="A136">
        <v>135</v>
      </c>
      <c r="B136" t="s">
        <v>44</v>
      </c>
      <c r="C136" t="s">
        <v>54</v>
      </c>
      <c r="D136" t="s">
        <v>46</v>
      </c>
      <c r="E136">
        <v>0</v>
      </c>
      <c r="F136" t="s">
        <v>11</v>
      </c>
      <c r="G136" t="s">
        <v>12</v>
      </c>
      <c r="H136" t="s">
        <v>11</v>
      </c>
      <c r="I136" t="s">
        <v>12</v>
      </c>
      <c r="J136" t="s">
        <v>12</v>
      </c>
    </row>
    <row r="137" spans="1:10" x14ac:dyDescent="0.35">
      <c r="A137">
        <v>136</v>
      </c>
      <c r="B137" t="s">
        <v>44</v>
      </c>
      <c r="C137" t="s">
        <v>47</v>
      </c>
      <c r="D137" t="s">
        <v>49</v>
      </c>
      <c r="E137">
        <v>0</v>
      </c>
      <c r="F137" t="s">
        <v>11</v>
      </c>
      <c r="G137" t="s">
        <v>12</v>
      </c>
      <c r="H137" t="s">
        <v>11</v>
      </c>
      <c r="I137" t="s">
        <v>12</v>
      </c>
      <c r="J137" t="s">
        <v>12</v>
      </c>
    </row>
    <row r="138" spans="1:10" x14ac:dyDescent="0.35">
      <c r="A138">
        <v>137</v>
      </c>
      <c r="B138" t="s">
        <v>44</v>
      </c>
      <c r="C138" t="s">
        <v>51</v>
      </c>
      <c r="D138" t="s">
        <v>46</v>
      </c>
      <c r="E138">
        <v>0</v>
      </c>
      <c r="F138" t="s">
        <v>11</v>
      </c>
      <c r="G138" t="s">
        <v>11</v>
      </c>
      <c r="H138" t="s">
        <v>11</v>
      </c>
      <c r="I138" t="s">
        <v>12</v>
      </c>
      <c r="J138" t="s">
        <v>12</v>
      </c>
    </row>
    <row r="139" spans="1:10" x14ac:dyDescent="0.35">
      <c r="A139">
        <v>138</v>
      </c>
      <c r="B139" t="s">
        <v>44</v>
      </c>
      <c r="C139" t="s">
        <v>45</v>
      </c>
      <c r="D139" t="s">
        <v>52</v>
      </c>
      <c r="E139">
        <v>2</v>
      </c>
      <c r="F139" t="s">
        <v>11</v>
      </c>
      <c r="G139" t="s">
        <v>12</v>
      </c>
      <c r="H139" t="s">
        <v>11</v>
      </c>
      <c r="I139" t="s">
        <v>11</v>
      </c>
      <c r="J139" t="s">
        <v>12</v>
      </c>
    </row>
    <row r="140" spans="1:10" x14ac:dyDescent="0.35">
      <c r="A140">
        <v>139</v>
      </c>
      <c r="B140" t="s">
        <v>44</v>
      </c>
      <c r="C140" t="s">
        <v>47</v>
      </c>
      <c r="D140" t="s">
        <v>46</v>
      </c>
      <c r="E140">
        <v>1</v>
      </c>
      <c r="F140" t="s">
        <v>11</v>
      </c>
      <c r="G140" t="s">
        <v>11</v>
      </c>
      <c r="H140" t="s">
        <v>11</v>
      </c>
      <c r="I140" t="s">
        <v>12</v>
      </c>
      <c r="J140" t="s">
        <v>12</v>
      </c>
    </row>
    <row r="141" spans="1:10" x14ac:dyDescent="0.35">
      <c r="A141">
        <v>140</v>
      </c>
      <c r="B141" t="s">
        <v>44</v>
      </c>
      <c r="C141" t="s">
        <v>45</v>
      </c>
      <c r="D141" t="s">
        <v>52</v>
      </c>
      <c r="E141">
        <v>0</v>
      </c>
      <c r="F141" t="s">
        <v>11</v>
      </c>
      <c r="G141" t="s">
        <v>11</v>
      </c>
      <c r="H141" t="s">
        <v>11</v>
      </c>
      <c r="I141" t="s">
        <v>12</v>
      </c>
      <c r="J141" t="s">
        <v>12</v>
      </c>
    </row>
    <row r="142" spans="1:10" x14ac:dyDescent="0.35">
      <c r="A142">
        <v>141</v>
      </c>
      <c r="B142" t="s">
        <v>44</v>
      </c>
      <c r="C142" t="s">
        <v>45</v>
      </c>
      <c r="D142" t="s">
        <v>53</v>
      </c>
      <c r="E142">
        <v>0</v>
      </c>
      <c r="F142" t="s">
        <v>12</v>
      </c>
      <c r="G142" t="s">
        <v>12</v>
      </c>
      <c r="H142" t="s">
        <v>11</v>
      </c>
      <c r="I142" t="s">
        <v>12</v>
      </c>
      <c r="J142" t="s">
        <v>12</v>
      </c>
    </row>
    <row r="143" spans="1:10" x14ac:dyDescent="0.35">
      <c r="A143">
        <v>142</v>
      </c>
      <c r="B143" t="s">
        <v>50</v>
      </c>
      <c r="C143" t="s">
        <v>45</v>
      </c>
      <c r="D143" t="s">
        <v>52</v>
      </c>
      <c r="E143">
        <v>2</v>
      </c>
      <c r="F143" t="s">
        <v>11</v>
      </c>
      <c r="G143" t="s">
        <v>12</v>
      </c>
      <c r="H143" t="s">
        <v>11</v>
      </c>
      <c r="I143" t="s">
        <v>12</v>
      </c>
      <c r="J143" t="s">
        <v>12</v>
      </c>
    </row>
    <row r="144" spans="1:10" x14ac:dyDescent="0.35">
      <c r="A144">
        <v>143</v>
      </c>
      <c r="B144" t="s">
        <v>44</v>
      </c>
      <c r="C144" t="s">
        <v>47</v>
      </c>
      <c r="D144" t="s">
        <v>49</v>
      </c>
      <c r="E144">
        <v>0</v>
      </c>
      <c r="F144" t="s">
        <v>11</v>
      </c>
      <c r="G144" t="s">
        <v>12</v>
      </c>
      <c r="H144" t="s">
        <v>12</v>
      </c>
      <c r="I144" t="s">
        <v>12</v>
      </c>
      <c r="J144" t="s">
        <v>12</v>
      </c>
    </row>
    <row r="145" spans="1:10" x14ac:dyDescent="0.35">
      <c r="A145">
        <v>144</v>
      </c>
      <c r="B145" t="s">
        <v>44</v>
      </c>
      <c r="C145" t="s">
        <v>47</v>
      </c>
      <c r="D145" t="s">
        <v>52</v>
      </c>
      <c r="E145">
        <v>0</v>
      </c>
      <c r="F145" t="s">
        <v>11</v>
      </c>
      <c r="G145" t="s">
        <v>11</v>
      </c>
      <c r="H145" t="s">
        <v>11</v>
      </c>
      <c r="I145" t="s">
        <v>12</v>
      </c>
      <c r="J145" t="s">
        <v>12</v>
      </c>
    </row>
    <row r="146" spans="1:10" x14ac:dyDescent="0.35">
      <c r="A146">
        <v>145</v>
      </c>
      <c r="B146" t="s">
        <v>48</v>
      </c>
      <c r="C146" t="s">
        <v>47</v>
      </c>
      <c r="D146" t="s">
        <v>52</v>
      </c>
      <c r="E146">
        <v>3</v>
      </c>
      <c r="F146" t="s">
        <v>11</v>
      </c>
      <c r="G146" t="s">
        <v>12</v>
      </c>
      <c r="H146" t="s">
        <v>11</v>
      </c>
      <c r="I146" t="s">
        <v>12</v>
      </c>
      <c r="J146" t="s">
        <v>12</v>
      </c>
    </row>
    <row r="147" spans="1:10" x14ac:dyDescent="0.35">
      <c r="A147">
        <v>146</v>
      </c>
      <c r="B147" t="s">
        <v>44</v>
      </c>
      <c r="C147" t="s">
        <v>47</v>
      </c>
      <c r="D147" t="s">
        <v>46</v>
      </c>
      <c r="E147">
        <v>0</v>
      </c>
      <c r="F147" t="s">
        <v>11</v>
      </c>
      <c r="G147" t="s">
        <v>12</v>
      </c>
      <c r="H147" t="s">
        <v>12</v>
      </c>
      <c r="I147" t="s">
        <v>12</v>
      </c>
      <c r="J147" t="s">
        <v>12</v>
      </c>
    </row>
    <row r="148" spans="1:10" x14ac:dyDescent="0.35">
      <c r="A148">
        <v>147</v>
      </c>
      <c r="B148" t="s">
        <v>48</v>
      </c>
      <c r="C148" t="s">
        <v>47</v>
      </c>
      <c r="D148" t="s">
        <v>46</v>
      </c>
      <c r="E148">
        <v>3</v>
      </c>
      <c r="F148" t="s">
        <v>11</v>
      </c>
      <c r="G148" t="s">
        <v>12</v>
      </c>
      <c r="H148" t="s">
        <v>11</v>
      </c>
      <c r="I148" t="s">
        <v>12</v>
      </c>
      <c r="J148" t="s">
        <v>12</v>
      </c>
    </row>
    <row r="149" spans="1:10" x14ac:dyDescent="0.35">
      <c r="A149">
        <v>148</v>
      </c>
      <c r="B149" t="s">
        <v>44</v>
      </c>
      <c r="C149" t="s">
        <v>47</v>
      </c>
      <c r="D149" t="s">
        <v>46</v>
      </c>
      <c r="E149">
        <v>0</v>
      </c>
      <c r="F149" t="s">
        <v>11</v>
      </c>
      <c r="G149" t="s">
        <v>12</v>
      </c>
      <c r="H149" t="s">
        <v>12</v>
      </c>
      <c r="I149" t="s">
        <v>11</v>
      </c>
      <c r="J149" t="s">
        <v>12</v>
      </c>
    </row>
    <row r="150" spans="1:10" x14ac:dyDescent="0.35">
      <c r="A150">
        <v>149</v>
      </c>
      <c r="B150" t="s">
        <v>44</v>
      </c>
      <c r="C150" t="s">
        <v>47</v>
      </c>
      <c r="D150" t="s">
        <v>52</v>
      </c>
      <c r="E150">
        <v>0</v>
      </c>
      <c r="F150" t="s">
        <v>11</v>
      </c>
      <c r="G150" t="s">
        <v>12</v>
      </c>
      <c r="H150" t="s">
        <v>11</v>
      </c>
      <c r="I150" t="s">
        <v>12</v>
      </c>
      <c r="J150" t="s">
        <v>11</v>
      </c>
    </row>
    <row r="151" spans="1:10" x14ac:dyDescent="0.35">
      <c r="A151">
        <v>150</v>
      </c>
      <c r="B151" t="s">
        <v>44</v>
      </c>
      <c r="C151" t="s">
        <v>54</v>
      </c>
      <c r="D151" t="s">
        <v>52</v>
      </c>
      <c r="E151">
        <v>3</v>
      </c>
      <c r="F151" t="s">
        <v>11</v>
      </c>
      <c r="G151" t="s">
        <v>11</v>
      </c>
      <c r="H151" t="s">
        <v>11</v>
      </c>
      <c r="I151" t="s">
        <v>12</v>
      </c>
      <c r="J151" t="s">
        <v>12</v>
      </c>
    </row>
    <row r="152" spans="1:10" x14ac:dyDescent="0.35">
      <c r="A152">
        <v>151</v>
      </c>
      <c r="B152" t="s">
        <v>44</v>
      </c>
      <c r="C152" t="s">
        <v>47</v>
      </c>
      <c r="D152" t="s">
        <v>52</v>
      </c>
      <c r="E152">
        <v>3</v>
      </c>
      <c r="F152" t="s">
        <v>11</v>
      </c>
      <c r="G152" t="s">
        <v>11</v>
      </c>
      <c r="H152" t="s">
        <v>11</v>
      </c>
      <c r="I152" t="s">
        <v>12</v>
      </c>
      <c r="J152" t="s">
        <v>11</v>
      </c>
    </row>
    <row r="153" spans="1:10" x14ac:dyDescent="0.35">
      <c r="A153">
        <v>152</v>
      </c>
      <c r="B153" t="s">
        <v>44</v>
      </c>
      <c r="C153" t="s">
        <v>47</v>
      </c>
      <c r="D153" t="s">
        <v>52</v>
      </c>
      <c r="E153">
        <v>1</v>
      </c>
      <c r="F153" t="s">
        <v>11</v>
      </c>
      <c r="G153" t="s">
        <v>11</v>
      </c>
      <c r="H153" t="s">
        <v>11</v>
      </c>
      <c r="I153" t="s">
        <v>12</v>
      </c>
      <c r="J153" t="s">
        <v>12</v>
      </c>
    </row>
    <row r="154" spans="1:10" x14ac:dyDescent="0.35">
      <c r="A154">
        <v>153</v>
      </c>
      <c r="B154" t="s">
        <v>50</v>
      </c>
      <c r="C154" t="s">
        <v>45</v>
      </c>
      <c r="D154" t="s">
        <v>49</v>
      </c>
      <c r="E154">
        <v>2</v>
      </c>
      <c r="F154" t="s">
        <v>11</v>
      </c>
      <c r="G154" t="s">
        <v>12</v>
      </c>
      <c r="H154" t="s">
        <v>12</v>
      </c>
      <c r="I154" t="s">
        <v>12</v>
      </c>
      <c r="J154" t="s">
        <v>12</v>
      </c>
    </row>
    <row r="155" spans="1:10" x14ac:dyDescent="0.35">
      <c r="A155">
        <v>154</v>
      </c>
      <c r="B155" t="s">
        <v>48</v>
      </c>
      <c r="C155" t="s">
        <v>47</v>
      </c>
      <c r="D155" t="s">
        <v>52</v>
      </c>
      <c r="E155">
        <v>3</v>
      </c>
      <c r="F155" t="s">
        <v>11</v>
      </c>
      <c r="G155" t="s">
        <v>12</v>
      </c>
      <c r="H155" t="s">
        <v>11</v>
      </c>
      <c r="I155" t="s">
        <v>12</v>
      </c>
      <c r="J155" t="s">
        <v>11</v>
      </c>
    </row>
    <row r="156" spans="1:10" x14ac:dyDescent="0.35">
      <c r="A156">
        <v>155</v>
      </c>
      <c r="B156" t="s">
        <v>44</v>
      </c>
      <c r="C156" t="s">
        <v>47</v>
      </c>
      <c r="D156" t="s">
        <v>52</v>
      </c>
      <c r="E156">
        <v>0</v>
      </c>
      <c r="F156" t="s">
        <v>12</v>
      </c>
      <c r="G156" t="s">
        <v>12</v>
      </c>
      <c r="H156" t="s">
        <v>11</v>
      </c>
      <c r="I156" t="s">
        <v>12</v>
      </c>
      <c r="J156" t="s">
        <v>12</v>
      </c>
    </row>
    <row r="157" spans="1:10" x14ac:dyDescent="0.35">
      <c r="A157">
        <v>156</v>
      </c>
      <c r="B157" t="s">
        <v>44</v>
      </c>
      <c r="C157" t="s">
        <v>47</v>
      </c>
      <c r="D157" t="s">
        <v>46</v>
      </c>
      <c r="E157">
        <v>0</v>
      </c>
      <c r="F157" t="s">
        <v>12</v>
      </c>
      <c r="G157" t="s">
        <v>11</v>
      </c>
      <c r="H157" t="s">
        <v>12</v>
      </c>
      <c r="I157" t="s">
        <v>12</v>
      </c>
      <c r="J157" t="s">
        <v>12</v>
      </c>
    </row>
    <row r="158" spans="1:10" x14ac:dyDescent="0.35">
      <c r="A158">
        <v>157</v>
      </c>
      <c r="B158" t="s">
        <v>50</v>
      </c>
      <c r="C158" t="s">
        <v>47</v>
      </c>
      <c r="D158" t="s">
        <v>52</v>
      </c>
      <c r="E158">
        <v>0</v>
      </c>
      <c r="F158" t="s">
        <v>11</v>
      </c>
      <c r="G158" t="s">
        <v>11</v>
      </c>
      <c r="H158" t="s">
        <v>11</v>
      </c>
      <c r="I158" t="s">
        <v>12</v>
      </c>
      <c r="J158" t="s">
        <v>12</v>
      </c>
    </row>
    <row r="159" spans="1:10" x14ac:dyDescent="0.35">
      <c r="A159">
        <v>158</v>
      </c>
      <c r="B159" t="s">
        <v>44</v>
      </c>
      <c r="C159" t="s">
        <v>51</v>
      </c>
      <c r="D159" t="s">
        <v>52</v>
      </c>
      <c r="E159">
        <v>3</v>
      </c>
      <c r="F159" t="s">
        <v>11</v>
      </c>
      <c r="G159" t="s">
        <v>12</v>
      </c>
      <c r="H159" t="s">
        <v>11</v>
      </c>
      <c r="I159" t="s">
        <v>11</v>
      </c>
      <c r="J159" t="s">
        <v>12</v>
      </c>
    </row>
    <row r="160" spans="1:10" x14ac:dyDescent="0.35">
      <c r="A160">
        <v>159</v>
      </c>
      <c r="B160" t="s">
        <v>44</v>
      </c>
      <c r="C160" t="s">
        <v>51</v>
      </c>
      <c r="D160" t="s">
        <v>52</v>
      </c>
      <c r="E160">
        <v>0</v>
      </c>
      <c r="F160" t="s">
        <v>11</v>
      </c>
      <c r="G160" t="s">
        <v>11</v>
      </c>
      <c r="H160" t="s">
        <v>11</v>
      </c>
      <c r="I160" t="s">
        <v>11</v>
      </c>
      <c r="J160" t="s">
        <v>12</v>
      </c>
    </row>
    <row r="161" spans="1:10" x14ac:dyDescent="0.35">
      <c r="A161">
        <v>160</v>
      </c>
      <c r="B161" t="s">
        <v>44</v>
      </c>
      <c r="C161" t="s">
        <v>47</v>
      </c>
      <c r="D161" t="s">
        <v>46</v>
      </c>
      <c r="E161">
        <v>1</v>
      </c>
      <c r="F161" t="s">
        <v>11</v>
      </c>
      <c r="G161" t="s">
        <v>12</v>
      </c>
      <c r="H161" t="s">
        <v>12</v>
      </c>
      <c r="I161" t="s">
        <v>12</v>
      </c>
      <c r="J161" t="s">
        <v>12</v>
      </c>
    </row>
    <row r="162" spans="1:10" x14ac:dyDescent="0.35">
      <c r="A162">
        <v>161</v>
      </c>
      <c r="B162" t="s">
        <v>44</v>
      </c>
      <c r="C162" t="s">
        <v>45</v>
      </c>
      <c r="D162" t="s">
        <v>52</v>
      </c>
      <c r="E162">
        <v>2</v>
      </c>
      <c r="F162" t="s">
        <v>11</v>
      </c>
      <c r="G162" t="s">
        <v>11</v>
      </c>
      <c r="H162" t="s">
        <v>11</v>
      </c>
      <c r="I162" t="s">
        <v>12</v>
      </c>
      <c r="J162" t="s">
        <v>11</v>
      </c>
    </row>
    <row r="163" spans="1:10" x14ac:dyDescent="0.35">
      <c r="A163">
        <v>162</v>
      </c>
      <c r="B163" t="s">
        <v>44</v>
      </c>
      <c r="C163" t="s">
        <v>45</v>
      </c>
      <c r="D163" t="s">
        <v>46</v>
      </c>
      <c r="E163">
        <v>2</v>
      </c>
      <c r="F163" t="s">
        <v>12</v>
      </c>
      <c r="G163" t="s">
        <v>12</v>
      </c>
      <c r="H163" t="s">
        <v>11</v>
      </c>
      <c r="I163" t="s">
        <v>12</v>
      </c>
      <c r="J163" t="s">
        <v>12</v>
      </c>
    </row>
    <row r="164" spans="1:10" x14ac:dyDescent="0.35">
      <c r="A164">
        <v>163</v>
      </c>
      <c r="B164" t="s">
        <v>44</v>
      </c>
      <c r="C164" t="s">
        <v>45</v>
      </c>
      <c r="D164" t="s">
        <v>52</v>
      </c>
      <c r="E164">
        <v>1</v>
      </c>
      <c r="F164" t="s">
        <v>11</v>
      </c>
      <c r="G164" t="s">
        <v>11</v>
      </c>
      <c r="H164" t="s">
        <v>11</v>
      </c>
      <c r="I164" t="s">
        <v>12</v>
      </c>
      <c r="J164" t="s">
        <v>12</v>
      </c>
    </row>
    <row r="165" spans="1:10" x14ac:dyDescent="0.35">
      <c r="A165">
        <v>164</v>
      </c>
      <c r="B165" t="s">
        <v>44</v>
      </c>
      <c r="C165" t="s">
        <v>47</v>
      </c>
      <c r="D165" t="s">
        <v>52</v>
      </c>
      <c r="E165">
        <v>0</v>
      </c>
      <c r="F165" t="s">
        <v>11</v>
      </c>
      <c r="G165" t="s">
        <v>11</v>
      </c>
      <c r="H165" t="s">
        <v>11</v>
      </c>
      <c r="I165" t="s">
        <v>12</v>
      </c>
      <c r="J165" t="s">
        <v>11</v>
      </c>
    </row>
    <row r="166" spans="1:10" x14ac:dyDescent="0.35">
      <c r="A166">
        <v>165</v>
      </c>
      <c r="B166" t="s">
        <v>44</v>
      </c>
      <c r="C166" t="s">
        <v>54</v>
      </c>
      <c r="D166" t="s">
        <v>46</v>
      </c>
      <c r="E166">
        <v>3</v>
      </c>
      <c r="F166" t="s">
        <v>11</v>
      </c>
      <c r="G166" t="s">
        <v>11</v>
      </c>
      <c r="H166" t="s">
        <v>11</v>
      </c>
      <c r="I166" t="s">
        <v>12</v>
      </c>
      <c r="J166" t="s">
        <v>11</v>
      </c>
    </row>
    <row r="167" spans="1:10" x14ac:dyDescent="0.35">
      <c r="A167">
        <v>166</v>
      </c>
      <c r="B167" t="s">
        <v>44</v>
      </c>
      <c r="C167" t="s">
        <v>45</v>
      </c>
      <c r="D167" t="s">
        <v>52</v>
      </c>
      <c r="E167">
        <v>1</v>
      </c>
      <c r="F167" t="s">
        <v>11</v>
      </c>
      <c r="G167" t="s">
        <v>12</v>
      </c>
      <c r="H167" t="s">
        <v>11</v>
      </c>
      <c r="I167" t="s">
        <v>11</v>
      </c>
      <c r="J167" t="s">
        <v>11</v>
      </c>
    </row>
    <row r="168" spans="1:10" x14ac:dyDescent="0.35">
      <c r="A168">
        <v>167</v>
      </c>
      <c r="B168" t="s">
        <v>44</v>
      </c>
      <c r="C168" t="s">
        <v>47</v>
      </c>
      <c r="D168" t="s">
        <v>46</v>
      </c>
      <c r="E168">
        <v>0</v>
      </c>
      <c r="F168" t="s">
        <v>11</v>
      </c>
      <c r="G168" t="s">
        <v>11</v>
      </c>
      <c r="H168" t="s">
        <v>11</v>
      </c>
      <c r="I168" t="s">
        <v>12</v>
      </c>
      <c r="J168" t="s">
        <v>11</v>
      </c>
    </row>
    <row r="169" spans="1:10" x14ac:dyDescent="0.35">
      <c r="A169">
        <v>168</v>
      </c>
      <c r="B169" t="s">
        <v>48</v>
      </c>
      <c r="C169" t="s">
        <v>47</v>
      </c>
      <c r="D169" t="s">
        <v>46</v>
      </c>
      <c r="E169">
        <v>0</v>
      </c>
      <c r="F169" t="s">
        <v>11</v>
      </c>
      <c r="G169" t="s">
        <v>11</v>
      </c>
      <c r="H169" t="s">
        <v>12</v>
      </c>
      <c r="I169" t="s">
        <v>12</v>
      </c>
      <c r="J169" t="s">
        <v>12</v>
      </c>
    </row>
    <row r="170" spans="1:10" x14ac:dyDescent="0.35">
      <c r="A170">
        <v>169</v>
      </c>
      <c r="B170" t="s">
        <v>48</v>
      </c>
      <c r="C170" t="s">
        <v>47</v>
      </c>
      <c r="D170" t="s">
        <v>46</v>
      </c>
      <c r="E170">
        <v>0</v>
      </c>
      <c r="F170" t="s">
        <v>11</v>
      </c>
      <c r="G170" t="s">
        <v>12</v>
      </c>
      <c r="H170" t="s">
        <v>12</v>
      </c>
      <c r="I170" t="s">
        <v>11</v>
      </c>
      <c r="J170" t="s">
        <v>12</v>
      </c>
    </row>
    <row r="171" spans="1:10" x14ac:dyDescent="0.35">
      <c r="A171">
        <v>170</v>
      </c>
      <c r="B171" t="s">
        <v>50</v>
      </c>
      <c r="C171" t="s">
        <v>47</v>
      </c>
      <c r="D171" t="s">
        <v>46</v>
      </c>
      <c r="E171">
        <v>0</v>
      </c>
      <c r="F171" t="s">
        <v>11</v>
      </c>
      <c r="G171" t="s">
        <v>12</v>
      </c>
      <c r="H171" t="s">
        <v>12</v>
      </c>
      <c r="I171" t="s">
        <v>12</v>
      </c>
      <c r="J171" t="s">
        <v>12</v>
      </c>
    </row>
    <row r="172" spans="1:10" x14ac:dyDescent="0.35">
      <c r="A172">
        <v>171</v>
      </c>
      <c r="B172" t="s">
        <v>44</v>
      </c>
      <c r="C172" t="s">
        <v>51</v>
      </c>
      <c r="D172" t="s">
        <v>52</v>
      </c>
      <c r="E172">
        <v>2</v>
      </c>
      <c r="F172" t="s">
        <v>11</v>
      </c>
      <c r="G172" t="s">
        <v>12</v>
      </c>
      <c r="H172" t="s">
        <v>11</v>
      </c>
      <c r="I172" t="s">
        <v>11</v>
      </c>
      <c r="J172" t="s">
        <v>12</v>
      </c>
    </row>
    <row r="173" spans="1:10" x14ac:dyDescent="0.35">
      <c r="A173">
        <v>172</v>
      </c>
      <c r="B173" t="s">
        <v>50</v>
      </c>
      <c r="C173" t="s">
        <v>45</v>
      </c>
      <c r="D173" t="s">
        <v>46</v>
      </c>
      <c r="E173">
        <v>0</v>
      </c>
      <c r="F173" t="s">
        <v>11</v>
      </c>
      <c r="G173" t="s">
        <v>12</v>
      </c>
      <c r="H173" t="s">
        <v>12</v>
      </c>
      <c r="I173" t="s">
        <v>12</v>
      </c>
      <c r="J173" t="s">
        <v>12</v>
      </c>
    </row>
    <row r="174" spans="1:10" x14ac:dyDescent="0.35">
      <c r="A174">
        <v>173</v>
      </c>
      <c r="B174" t="s">
        <v>50</v>
      </c>
      <c r="C174" t="s">
        <v>47</v>
      </c>
      <c r="D174" t="s">
        <v>46</v>
      </c>
      <c r="E174">
        <v>0</v>
      </c>
      <c r="F174" t="s">
        <v>11</v>
      </c>
      <c r="G174" t="s">
        <v>12</v>
      </c>
      <c r="H174" t="s">
        <v>12</v>
      </c>
      <c r="I174" t="s">
        <v>12</v>
      </c>
      <c r="J174" t="s">
        <v>12</v>
      </c>
    </row>
    <row r="175" spans="1:10" x14ac:dyDescent="0.35">
      <c r="A175">
        <v>174</v>
      </c>
      <c r="B175" t="s">
        <v>48</v>
      </c>
      <c r="C175" t="s">
        <v>47</v>
      </c>
      <c r="D175" t="s">
        <v>46</v>
      </c>
      <c r="E175">
        <v>3</v>
      </c>
      <c r="F175" t="s">
        <v>11</v>
      </c>
      <c r="G175" t="s">
        <v>11</v>
      </c>
      <c r="H175" t="s">
        <v>11</v>
      </c>
      <c r="I175" t="s">
        <v>11</v>
      </c>
      <c r="J175" t="s">
        <v>12</v>
      </c>
    </row>
    <row r="176" spans="1:10" x14ac:dyDescent="0.35">
      <c r="A176">
        <v>175</v>
      </c>
      <c r="B176" t="s">
        <v>50</v>
      </c>
      <c r="C176" t="s">
        <v>45</v>
      </c>
      <c r="D176" t="s">
        <v>46</v>
      </c>
      <c r="E176">
        <v>0</v>
      </c>
      <c r="F176" t="s">
        <v>11</v>
      </c>
      <c r="G176" t="s">
        <v>12</v>
      </c>
      <c r="H176" t="s">
        <v>12</v>
      </c>
      <c r="I176" t="s">
        <v>12</v>
      </c>
      <c r="J176" t="s">
        <v>12</v>
      </c>
    </row>
    <row r="177" spans="1:10" x14ac:dyDescent="0.35">
      <c r="A177">
        <v>176</v>
      </c>
      <c r="B177" t="s">
        <v>44</v>
      </c>
      <c r="C177" t="s">
        <v>45</v>
      </c>
      <c r="D177" t="s">
        <v>46</v>
      </c>
      <c r="E177">
        <v>0</v>
      </c>
      <c r="F177" t="s">
        <v>11</v>
      </c>
      <c r="G177" t="s">
        <v>11</v>
      </c>
      <c r="H177" t="s">
        <v>12</v>
      </c>
      <c r="I177" t="s">
        <v>12</v>
      </c>
      <c r="J177" t="s">
        <v>12</v>
      </c>
    </row>
    <row r="178" spans="1:10" x14ac:dyDescent="0.35">
      <c r="A178">
        <v>177</v>
      </c>
      <c r="B178" t="s">
        <v>50</v>
      </c>
      <c r="C178" t="s">
        <v>45</v>
      </c>
      <c r="D178" t="s">
        <v>46</v>
      </c>
      <c r="E178">
        <v>0</v>
      </c>
      <c r="F178" t="s">
        <v>11</v>
      </c>
      <c r="G178" t="s">
        <v>11</v>
      </c>
      <c r="H178" t="s">
        <v>12</v>
      </c>
      <c r="I178" t="s">
        <v>11</v>
      </c>
      <c r="J178" t="s">
        <v>12</v>
      </c>
    </row>
    <row r="179" spans="1:10" x14ac:dyDescent="0.35">
      <c r="A179">
        <v>178</v>
      </c>
      <c r="B179" t="s">
        <v>50</v>
      </c>
      <c r="C179" t="s">
        <v>47</v>
      </c>
      <c r="D179" t="s">
        <v>46</v>
      </c>
      <c r="E179">
        <v>0</v>
      </c>
      <c r="F179" t="s">
        <v>11</v>
      </c>
      <c r="G179" t="s">
        <v>11</v>
      </c>
      <c r="H179" t="s">
        <v>11</v>
      </c>
      <c r="I179" t="s">
        <v>11</v>
      </c>
      <c r="J179" t="s">
        <v>12</v>
      </c>
    </row>
    <row r="180" spans="1:10" x14ac:dyDescent="0.35">
      <c r="A180">
        <v>179</v>
      </c>
      <c r="B180" t="s">
        <v>27</v>
      </c>
      <c r="C180" t="s">
        <v>47</v>
      </c>
      <c r="D180" t="s">
        <v>52</v>
      </c>
      <c r="E180">
        <v>0</v>
      </c>
      <c r="F180" t="s">
        <v>11</v>
      </c>
      <c r="G180" t="s">
        <v>12</v>
      </c>
      <c r="H180" t="s">
        <v>11</v>
      </c>
      <c r="I180" t="s">
        <v>12</v>
      </c>
      <c r="J180" t="s">
        <v>12</v>
      </c>
    </row>
    <row r="181" spans="1:10" x14ac:dyDescent="0.35">
      <c r="A181">
        <v>180</v>
      </c>
      <c r="B181" t="s">
        <v>44</v>
      </c>
      <c r="C181" t="s">
        <v>47</v>
      </c>
      <c r="D181" t="s">
        <v>46</v>
      </c>
      <c r="E181">
        <v>0</v>
      </c>
      <c r="F181" t="s">
        <v>11</v>
      </c>
      <c r="G181" t="s">
        <v>12</v>
      </c>
      <c r="H181" t="s">
        <v>11</v>
      </c>
      <c r="I181" t="s">
        <v>12</v>
      </c>
      <c r="J181" t="s">
        <v>12</v>
      </c>
    </row>
    <row r="182" spans="1:10" x14ac:dyDescent="0.35">
      <c r="A182">
        <v>181</v>
      </c>
      <c r="B182" t="s">
        <v>48</v>
      </c>
      <c r="C182" t="s">
        <v>47</v>
      </c>
      <c r="D182" t="s">
        <v>46</v>
      </c>
      <c r="E182">
        <v>0</v>
      </c>
      <c r="F182" t="s">
        <v>11</v>
      </c>
      <c r="G182" t="s">
        <v>12</v>
      </c>
      <c r="H182" t="s">
        <v>12</v>
      </c>
      <c r="I182" t="s">
        <v>12</v>
      </c>
      <c r="J182" t="s">
        <v>12</v>
      </c>
    </row>
    <row r="183" spans="1:10" x14ac:dyDescent="0.35">
      <c r="A183">
        <v>182</v>
      </c>
      <c r="B183" t="s">
        <v>48</v>
      </c>
      <c r="C183" t="s">
        <v>47</v>
      </c>
      <c r="D183" t="s">
        <v>46</v>
      </c>
      <c r="E183">
        <v>0</v>
      </c>
      <c r="F183" t="s">
        <v>11</v>
      </c>
      <c r="G183" t="s">
        <v>11</v>
      </c>
      <c r="H183" t="s">
        <v>12</v>
      </c>
      <c r="I183" t="s">
        <v>12</v>
      </c>
      <c r="J183" t="s">
        <v>12</v>
      </c>
    </row>
    <row r="184" spans="1:10" x14ac:dyDescent="0.35">
      <c r="A184">
        <v>183</v>
      </c>
      <c r="B184" t="s">
        <v>50</v>
      </c>
      <c r="C184" t="s">
        <v>47</v>
      </c>
      <c r="D184" t="s">
        <v>46</v>
      </c>
      <c r="E184">
        <v>0</v>
      </c>
      <c r="F184" t="s">
        <v>11</v>
      </c>
      <c r="G184" t="s">
        <v>12</v>
      </c>
      <c r="H184" t="s">
        <v>11</v>
      </c>
      <c r="I184" t="s">
        <v>12</v>
      </c>
      <c r="J184" t="s">
        <v>12</v>
      </c>
    </row>
    <row r="185" spans="1:10" x14ac:dyDescent="0.35">
      <c r="A185">
        <v>184</v>
      </c>
      <c r="B185" t="s">
        <v>50</v>
      </c>
      <c r="C185" t="s">
        <v>47</v>
      </c>
      <c r="D185" t="s">
        <v>46</v>
      </c>
      <c r="E185">
        <v>0</v>
      </c>
      <c r="F185" t="s">
        <v>11</v>
      </c>
      <c r="G185" t="s">
        <v>12</v>
      </c>
      <c r="H185" t="s">
        <v>11</v>
      </c>
      <c r="I185" t="s">
        <v>12</v>
      </c>
      <c r="J185" t="s">
        <v>12</v>
      </c>
    </row>
    <row r="186" spans="1:10" x14ac:dyDescent="0.35">
      <c r="A186">
        <v>185</v>
      </c>
      <c r="B186" t="s">
        <v>50</v>
      </c>
      <c r="C186" t="s">
        <v>47</v>
      </c>
      <c r="D186" t="s">
        <v>46</v>
      </c>
      <c r="E186">
        <v>0</v>
      </c>
      <c r="F186" t="s">
        <v>11</v>
      </c>
      <c r="G186" t="s">
        <v>12</v>
      </c>
      <c r="H186" t="s">
        <v>12</v>
      </c>
      <c r="I186" t="s">
        <v>12</v>
      </c>
      <c r="J186" t="s">
        <v>12</v>
      </c>
    </row>
    <row r="187" spans="1:10" x14ac:dyDescent="0.35">
      <c r="A187">
        <v>186</v>
      </c>
      <c r="B187" t="s">
        <v>27</v>
      </c>
      <c r="C187" t="s">
        <v>47</v>
      </c>
      <c r="D187" t="s">
        <v>46</v>
      </c>
      <c r="E187">
        <v>0</v>
      </c>
      <c r="F187" t="s">
        <v>11</v>
      </c>
      <c r="G187" t="s">
        <v>12</v>
      </c>
      <c r="H187" t="s">
        <v>11</v>
      </c>
      <c r="I187" t="s">
        <v>12</v>
      </c>
      <c r="J187" t="s">
        <v>12</v>
      </c>
    </row>
    <row r="188" spans="1:10" x14ac:dyDescent="0.35">
      <c r="A188">
        <v>187</v>
      </c>
      <c r="B188" t="s">
        <v>27</v>
      </c>
      <c r="C188" t="s">
        <v>47</v>
      </c>
      <c r="D188" t="s">
        <v>52</v>
      </c>
      <c r="E188">
        <v>0</v>
      </c>
      <c r="F188" t="s">
        <v>11</v>
      </c>
      <c r="G188" t="s">
        <v>12</v>
      </c>
      <c r="H188" t="s">
        <v>12</v>
      </c>
      <c r="I188" t="s">
        <v>12</v>
      </c>
      <c r="J188" t="s">
        <v>12</v>
      </c>
    </row>
    <row r="189" spans="1:10" x14ac:dyDescent="0.35">
      <c r="A189">
        <v>188</v>
      </c>
      <c r="B189" t="s">
        <v>44</v>
      </c>
      <c r="C189" t="s">
        <v>47</v>
      </c>
      <c r="D189" t="s">
        <v>46</v>
      </c>
      <c r="E189">
        <v>0</v>
      </c>
      <c r="F189" t="s">
        <v>11</v>
      </c>
      <c r="G189" t="s">
        <v>11</v>
      </c>
      <c r="H189" t="s">
        <v>12</v>
      </c>
      <c r="I189" t="s">
        <v>12</v>
      </c>
      <c r="J189" t="s">
        <v>12</v>
      </c>
    </row>
    <row r="190" spans="1:10" x14ac:dyDescent="0.35">
      <c r="A190">
        <v>189</v>
      </c>
      <c r="B190" t="s">
        <v>50</v>
      </c>
      <c r="C190" t="s">
        <v>47</v>
      </c>
      <c r="D190" t="s">
        <v>46</v>
      </c>
      <c r="E190">
        <v>0</v>
      </c>
      <c r="F190" t="s">
        <v>11</v>
      </c>
      <c r="G190" t="s">
        <v>12</v>
      </c>
      <c r="H190" t="s">
        <v>11</v>
      </c>
      <c r="I190" t="s">
        <v>11</v>
      </c>
      <c r="J190" t="s">
        <v>12</v>
      </c>
    </row>
    <row r="191" spans="1:10" x14ac:dyDescent="0.35">
      <c r="A191">
        <v>190</v>
      </c>
      <c r="B191" t="s">
        <v>48</v>
      </c>
      <c r="C191" t="s">
        <v>47</v>
      </c>
      <c r="D191" t="s">
        <v>46</v>
      </c>
      <c r="E191">
        <v>0</v>
      </c>
      <c r="F191" t="s">
        <v>11</v>
      </c>
      <c r="G191" t="s">
        <v>11</v>
      </c>
      <c r="H191" t="s">
        <v>11</v>
      </c>
      <c r="I191" t="s">
        <v>12</v>
      </c>
      <c r="J191" t="s">
        <v>12</v>
      </c>
    </row>
    <row r="192" spans="1:10" x14ac:dyDescent="0.35">
      <c r="A192">
        <v>191</v>
      </c>
      <c r="B192" t="s">
        <v>44</v>
      </c>
      <c r="C192" t="s">
        <v>47</v>
      </c>
      <c r="D192" t="s">
        <v>46</v>
      </c>
      <c r="E192">
        <v>0</v>
      </c>
      <c r="F192" t="s">
        <v>11</v>
      </c>
      <c r="G192" t="s">
        <v>11</v>
      </c>
      <c r="H192" t="s">
        <v>11</v>
      </c>
      <c r="I192" t="s">
        <v>12</v>
      </c>
      <c r="J192" t="s">
        <v>12</v>
      </c>
    </row>
    <row r="193" spans="1:10" x14ac:dyDescent="0.35">
      <c r="A193">
        <v>192</v>
      </c>
      <c r="B193" t="s">
        <v>44</v>
      </c>
      <c r="C193" t="s">
        <v>47</v>
      </c>
      <c r="D193" t="s">
        <v>46</v>
      </c>
      <c r="E193">
        <v>0</v>
      </c>
      <c r="F193" t="s">
        <v>11</v>
      </c>
      <c r="G193" t="s">
        <v>11</v>
      </c>
      <c r="H193" t="s">
        <v>11</v>
      </c>
      <c r="I193" t="s">
        <v>12</v>
      </c>
      <c r="J193" t="s">
        <v>12</v>
      </c>
    </row>
    <row r="194" spans="1:10" x14ac:dyDescent="0.35">
      <c r="A194">
        <v>193</v>
      </c>
      <c r="B194" t="s">
        <v>27</v>
      </c>
      <c r="C194" t="s">
        <v>45</v>
      </c>
      <c r="D194" t="s">
        <v>46</v>
      </c>
      <c r="E194">
        <v>0</v>
      </c>
      <c r="F194" t="s">
        <v>11</v>
      </c>
      <c r="G194" t="s">
        <v>11</v>
      </c>
      <c r="H194" t="s">
        <v>12</v>
      </c>
      <c r="I194" t="s">
        <v>11</v>
      </c>
      <c r="J194" t="s">
        <v>12</v>
      </c>
    </row>
    <row r="195" spans="1:10" x14ac:dyDescent="0.35">
      <c r="A195">
        <v>194</v>
      </c>
      <c r="B195" t="s">
        <v>50</v>
      </c>
      <c r="C195" t="s">
        <v>47</v>
      </c>
      <c r="D195" t="s">
        <v>52</v>
      </c>
      <c r="E195">
        <v>0</v>
      </c>
      <c r="F195" t="s">
        <v>11</v>
      </c>
      <c r="G195" t="s">
        <v>12</v>
      </c>
      <c r="H195" t="s">
        <v>11</v>
      </c>
      <c r="I195" t="s">
        <v>12</v>
      </c>
      <c r="J195" t="s">
        <v>12</v>
      </c>
    </row>
    <row r="196" spans="1:10" x14ac:dyDescent="0.35">
      <c r="A196">
        <v>195</v>
      </c>
      <c r="B196" t="s">
        <v>48</v>
      </c>
      <c r="C196" t="s">
        <v>45</v>
      </c>
      <c r="D196" t="s">
        <v>52</v>
      </c>
      <c r="E196">
        <v>0</v>
      </c>
      <c r="F196" t="s">
        <v>11</v>
      </c>
      <c r="G196" t="s">
        <v>11</v>
      </c>
      <c r="H196" t="s">
        <v>11</v>
      </c>
      <c r="I196" t="s">
        <v>12</v>
      </c>
      <c r="J196" t="s">
        <v>12</v>
      </c>
    </row>
    <row r="197" spans="1:10" x14ac:dyDescent="0.35">
      <c r="A197">
        <v>196</v>
      </c>
      <c r="B197" t="s">
        <v>44</v>
      </c>
      <c r="C197" t="s">
        <v>47</v>
      </c>
      <c r="D197" t="s">
        <v>46</v>
      </c>
      <c r="E197">
        <v>0</v>
      </c>
      <c r="F197" t="s">
        <v>11</v>
      </c>
      <c r="G197" t="s">
        <v>11</v>
      </c>
      <c r="H197" t="s">
        <v>11</v>
      </c>
      <c r="I197" t="s">
        <v>12</v>
      </c>
      <c r="J197" t="s">
        <v>12</v>
      </c>
    </row>
    <row r="198" spans="1:10" x14ac:dyDescent="0.35">
      <c r="A198">
        <v>197</v>
      </c>
      <c r="B198" t="s">
        <v>48</v>
      </c>
      <c r="C198" t="s">
        <v>47</v>
      </c>
      <c r="D198" t="s">
        <v>52</v>
      </c>
      <c r="E198">
        <v>0</v>
      </c>
      <c r="F198" t="s">
        <v>11</v>
      </c>
      <c r="G198" t="s">
        <v>11</v>
      </c>
      <c r="H198" t="s">
        <v>11</v>
      </c>
      <c r="I198" t="s">
        <v>12</v>
      </c>
      <c r="J198" t="s">
        <v>12</v>
      </c>
    </row>
    <row r="199" spans="1:10" x14ac:dyDescent="0.35">
      <c r="A199">
        <v>198</v>
      </c>
      <c r="B199" t="s">
        <v>48</v>
      </c>
      <c r="C199" t="s">
        <v>51</v>
      </c>
      <c r="D199" t="s">
        <v>52</v>
      </c>
      <c r="E199">
        <v>0</v>
      </c>
      <c r="F199" t="s">
        <v>11</v>
      </c>
      <c r="G199" t="s">
        <v>12</v>
      </c>
      <c r="H199" t="s">
        <v>12</v>
      </c>
      <c r="I199" t="s">
        <v>12</v>
      </c>
      <c r="J199" t="s">
        <v>12</v>
      </c>
    </row>
    <row r="200" spans="1:10" x14ac:dyDescent="0.35">
      <c r="A200">
        <v>199</v>
      </c>
      <c r="B200" t="s">
        <v>48</v>
      </c>
      <c r="C200" t="s">
        <v>45</v>
      </c>
      <c r="D200" t="s">
        <v>52</v>
      </c>
      <c r="E200">
        <v>1</v>
      </c>
      <c r="F200" t="s">
        <v>11</v>
      </c>
      <c r="G200" t="s">
        <v>12</v>
      </c>
      <c r="H200" t="s">
        <v>11</v>
      </c>
      <c r="I200" t="s">
        <v>12</v>
      </c>
      <c r="J200" t="s">
        <v>12</v>
      </c>
    </row>
    <row r="201" spans="1:10" x14ac:dyDescent="0.35">
      <c r="A201">
        <v>200</v>
      </c>
      <c r="B201" t="s">
        <v>50</v>
      </c>
      <c r="C201" t="s">
        <v>47</v>
      </c>
      <c r="D201" t="s">
        <v>46</v>
      </c>
      <c r="E201">
        <v>0</v>
      </c>
      <c r="F201" t="s">
        <v>11</v>
      </c>
      <c r="G201" t="s">
        <v>12</v>
      </c>
      <c r="H201" t="s">
        <v>12</v>
      </c>
      <c r="I201" t="s">
        <v>12</v>
      </c>
      <c r="J201" t="s">
        <v>12</v>
      </c>
    </row>
    <row r="202" spans="1:10" x14ac:dyDescent="0.35">
      <c r="A202">
        <v>201</v>
      </c>
      <c r="B202" t="s">
        <v>48</v>
      </c>
      <c r="C202" t="s">
        <v>47</v>
      </c>
      <c r="D202" t="s">
        <v>46</v>
      </c>
      <c r="E202">
        <v>0</v>
      </c>
      <c r="F202" t="s">
        <v>11</v>
      </c>
      <c r="G202" t="s">
        <v>12</v>
      </c>
      <c r="H202" t="s">
        <v>11</v>
      </c>
      <c r="I202" t="s">
        <v>12</v>
      </c>
      <c r="J202" t="s">
        <v>12</v>
      </c>
    </row>
    <row r="203" spans="1:10" x14ac:dyDescent="0.35">
      <c r="A203">
        <v>202</v>
      </c>
      <c r="B203" t="s">
        <v>50</v>
      </c>
      <c r="C203" t="s">
        <v>47</v>
      </c>
      <c r="D203" t="s">
        <v>46</v>
      </c>
      <c r="E203">
        <v>0</v>
      </c>
      <c r="F203" t="s">
        <v>12</v>
      </c>
      <c r="G203" t="s">
        <v>12</v>
      </c>
      <c r="H203" t="s">
        <v>12</v>
      </c>
      <c r="I203" t="s">
        <v>12</v>
      </c>
      <c r="J203" t="s">
        <v>12</v>
      </c>
    </row>
    <row r="204" spans="1:10" x14ac:dyDescent="0.35">
      <c r="A204">
        <v>203</v>
      </c>
      <c r="B204" t="s">
        <v>44</v>
      </c>
      <c r="C204" t="s">
        <v>47</v>
      </c>
      <c r="D204" t="s">
        <v>46</v>
      </c>
      <c r="E204">
        <v>0</v>
      </c>
      <c r="F204" t="s">
        <v>11</v>
      </c>
      <c r="G204" t="s">
        <v>12</v>
      </c>
      <c r="H204" t="s">
        <v>12</v>
      </c>
      <c r="I204" t="s">
        <v>11</v>
      </c>
      <c r="J204" t="s">
        <v>12</v>
      </c>
    </row>
    <row r="205" spans="1:10" x14ac:dyDescent="0.35">
      <c r="A205">
        <v>204</v>
      </c>
      <c r="B205" t="s">
        <v>50</v>
      </c>
      <c r="C205" t="s">
        <v>47</v>
      </c>
      <c r="D205" t="s">
        <v>52</v>
      </c>
      <c r="E205">
        <v>0</v>
      </c>
      <c r="F205" t="s">
        <v>11</v>
      </c>
      <c r="G205" t="s">
        <v>12</v>
      </c>
      <c r="H205" t="s">
        <v>11</v>
      </c>
      <c r="I205" t="s">
        <v>12</v>
      </c>
      <c r="J205" t="s">
        <v>12</v>
      </c>
    </row>
    <row r="206" spans="1:10" x14ac:dyDescent="0.35">
      <c r="A206">
        <v>205</v>
      </c>
      <c r="B206" t="s">
        <v>50</v>
      </c>
      <c r="C206" t="s">
        <v>45</v>
      </c>
      <c r="D206" t="s">
        <v>53</v>
      </c>
      <c r="E206">
        <v>0</v>
      </c>
      <c r="F206" t="s">
        <v>11</v>
      </c>
      <c r="G206" t="s">
        <v>12</v>
      </c>
      <c r="H206" t="s">
        <v>12</v>
      </c>
      <c r="I206" t="s">
        <v>11</v>
      </c>
      <c r="J206" t="s">
        <v>12</v>
      </c>
    </row>
    <row r="207" spans="1:10" x14ac:dyDescent="0.35">
      <c r="A207">
        <v>206</v>
      </c>
      <c r="B207" t="s">
        <v>48</v>
      </c>
      <c r="C207" t="s">
        <v>47</v>
      </c>
      <c r="D207" t="s">
        <v>49</v>
      </c>
      <c r="E207">
        <v>1</v>
      </c>
      <c r="F207" t="s">
        <v>11</v>
      </c>
      <c r="G207" t="s">
        <v>12</v>
      </c>
      <c r="H207" t="s">
        <v>12</v>
      </c>
      <c r="I207" t="s">
        <v>12</v>
      </c>
      <c r="J207" t="s">
        <v>12</v>
      </c>
    </row>
    <row r="208" spans="1:10" x14ac:dyDescent="0.35">
      <c r="A208">
        <v>207</v>
      </c>
      <c r="B208" t="s">
        <v>44</v>
      </c>
      <c r="C208" t="s">
        <v>47</v>
      </c>
      <c r="D208" t="s">
        <v>46</v>
      </c>
      <c r="E208">
        <v>3</v>
      </c>
      <c r="F208" t="s">
        <v>11</v>
      </c>
      <c r="G208" t="s">
        <v>12</v>
      </c>
      <c r="H208" t="s">
        <v>12</v>
      </c>
      <c r="I208" t="s">
        <v>12</v>
      </c>
      <c r="J208" t="s">
        <v>12</v>
      </c>
    </row>
    <row r="209" spans="1:10" x14ac:dyDescent="0.35">
      <c r="A209">
        <v>208</v>
      </c>
      <c r="B209" t="s">
        <v>27</v>
      </c>
      <c r="C209" t="s">
        <v>47</v>
      </c>
      <c r="D209" t="s">
        <v>46</v>
      </c>
      <c r="E209">
        <v>0</v>
      </c>
      <c r="F209" t="s">
        <v>11</v>
      </c>
      <c r="G209" t="s">
        <v>11</v>
      </c>
      <c r="H209" t="s">
        <v>12</v>
      </c>
      <c r="I209" t="s">
        <v>12</v>
      </c>
      <c r="J209" t="s">
        <v>12</v>
      </c>
    </row>
    <row r="210" spans="1:10" x14ac:dyDescent="0.35">
      <c r="A210">
        <v>209</v>
      </c>
      <c r="B210" t="s">
        <v>48</v>
      </c>
      <c r="C210" t="s">
        <v>45</v>
      </c>
      <c r="D210" t="s">
        <v>52</v>
      </c>
      <c r="E210">
        <v>0</v>
      </c>
      <c r="F210" t="s">
        <v>11</v>
      </c>
      <c r="G210" t="s">
        <v>12</v>
      </c>
      <c r="H210" t="s">
        <v>12</v>
      </c>
      <c r="I210" t="s">
        <v>12</v>
      </c>
      <c r="J210" t="s">
        <v>12</v>
      </c>
    </row>
    <row r="211" spans="1:10" x14ac:dyDescent="0.35">
      <c r="A211">
        <v>210</v>
      </c>
      <c r="B211" t="s">
        <v>50</v>
      </c>
      <c r="C211" t="s">
        <v>45</v>
      </c>
      <c r="D211" t="s">
        <v>49</v>
      </c>
      <c r="E211">
        <v>0</v>
      </c>
      <c r="F211" t="s">
        <v>11</v>
      </c>
      <c r="G211" t="s">
        <v>12</v>
      </c>
      <c r="H211" t="s">
        <v>12</v>
      </c>
      <c r="I211" t="s">
        <v>12</v>
      </c>
      <c r="J211" t="s">
        <v>12</v>
      </c>
    </row>
    <row r="212" spans="1:10" x14ac:dyDescent="0.35">
      <c r="A212">
        <v>211</v>
      </c>
      <c r="B212" t="s">
        <v>50</v>
      </c>
      <c r="C212" t="s">
        <v>47</v>
      </c>
      <c r="D212" t="s">
        <v>53</v>
      </c>
      <c r="E212">
        <v>0</v>
      </c>
      <c r="F212" t="s">
        <v>11</v>
      </c>
      <c r="G212" t="s">
        <v>12</v>
      </c>
      <c r="H212" t="s">
        <v>12</v>
      </c>
      <c r="I212" t="s">
        <v>12</v>
      </c>
      <c r="J212" t="s">
        <v>12</v>
      </c>
    </row>
    <row r="213" spans="1:10" x14ac:dyDescent="0.35">
      <c r="A213">
        <v>212</v>
      </c>
      <c r="B213" t="s">
        <v>48</v>
      </c>
      <c r="C213" t="s">
        <v>47</v>
      </c>
      <c r="D213" t="s">
        <v>46</v>
      </c>
      <c r="E213">
        <v>0</v>
      </c>
      <c r="F213" t="s">
        <v>11</v>
      </c>
      <c r="G213" t="s">
        <v>12</v>
      </c>
      <c r="H213" t="s">
        <v>12</v>
      </c>
      <c r="I213" t="s">
        <v>12</v>
      </c>
      <c r="J213" t="s">
        <v>12</v>
      </c>
    </row>
    <row r="214" spans="1:10" x14ac:dyDescent="0.35">
      <c r="A214">
        <v>213</v>
      </c>
      <c r="B214" t="s">
        <v>50</v>
      </c>
      <c r="C214" t="s">
        <v>47</v>
      </c>
      <c r="D214" t="s">
        <v>46</v>
      </c>
      <c r="E214">
        <v>0</v>
      </c>
      <c r="F214" t="s">
        <v>12</v>
      </c>
      <c r="G214" t="s">
        <v>12</v>
      </c>
      <c r="H214" t="s">
        <v>12</v>
      </c>
      <c r="I214" t="s">
        <v>12</v>
      </c>
      <c r="J214" t="s">
        <v>12</v>
      </c>
    </row>
    <row r="215" spans="1:10" x14ac:dyDescent="0.35">
      <c r="A215">
        <v>214</v>
      </c>
      <c r="B215" t="s">
        <v>48</v>
      </c>
      <c r="C215" t="s">
        <v>47</v>
      </c>
      <c r="D215" t="s">
        <v>46</v>
      </c>
      <c r="E215">
        <v>1</v>
      </c>
      <c r="F215" t="s">
        <v>11</v>
      </c>
      <c r="G215" t="s">
        <v>12</v>
      </c>
      <c r="H215" t="s">
        <v>12</v>
      </c>
      <c r="I215" t="s">
        <v>12</v>
      </c>
      <c r="J215" t="s">
        <v>12</v>
      </c>
    </row>
    <row r="216" spans="1:10" x14ac:dyDescent="0.35">
      <c r="A216">
        <v>215</v>
      </c>
      <c r="B216" t="s">
        <v>27</v>
      </c>
      <c r="C216" t="s">
        <v>47</v>
      </c>
      <c r="D216" t="s">
        <v>52</v>
      </c>
      <c r="E216">
        <v>0</v>
      </c>
      <c r="F216" t="s">
        <v>11</v>
      </c>
      <c r="G216" t="s">
        <v>12</v>
      </c>
      <c r="H216" t="s">
        <v>12</v>
      </c>
      <c r="I216" t="s">
        <v>12</v>
      </c>
      <c r="J216" t="s">
        <v>12</v>
      </c>
    </row>
    <row r="217" spans="1:10" x14ac:dyDescent="0.35">
      <c r="A217">
        <v>216</v>
      </c>
      <c r="B217" t="s">
        <v>50</v>
      </c>
      <c r="C217" t="s">
        <v>45</v>
      </c>
      <c r="D217" t="s">
        <v>46</v>
      </c>
      <c r="E217">
        <v>0</v>
      </c>
      <c r="F217" t="s">
        <v>11</v>
      </c>
      <c r="G217" t="s">
        <v>11</v>
      </c>
      <c r="H217" t="s">
        <v>12</v>
      </c>
      <c r="I217" t="s">
        <v>12</v>
      </c>
      <c r="J217" t="s">
        <v>12</v>
      </c>
    </row>
    <row r="218" spans="1:10" x14ac:dyDescent="0.35">
      <c r="A218">
        <v>217</v>
      </c>
      <c r="B218" t="s">
        <v>50</v>
      </c>
      <c r="C218" t="s">
        <v>47</v>
      </c>
      <c r="D218" t="s">
        <v>46</v>
      </c>
      <c r="E218">
        <v>2</v>
      </c>
      <c r="F218" t="s">
        <v>11</v>
      </c>
      <c r="G218" t="s">
        <v>11</v>
      </c>
      <c r="H218" t="s">
        <v>12</v>
      </c>
      <c r="I218" t="s">
        <v>12</v>
      </c>
      <c r="J218" t="s">
        <v>12</v>
      </c>
    </row>
    <row r="219" spans="1:10" x14ac:dyDescent="0.35">
      <c r="A219">
        <v>218</v>
      </c>
      <c r="B219" t="s">
        <v>48</v>
      </c>
      <c r="C219" t="s">
        <v>47</v>
      </c>
      <c r="D219" t="s">
        <v>46</v>
      </c>
      <c r="E219">
        <v>1</v>
      </c>
      <c r="F219" t="s">
        <v>11</v>
      </c>
      <c r="G219" t="s">
        <v>12</v>
      </c>
      <c r="H219" t="s">
        <v>12</v>
      </c>
      <c r="I219" t="s">
        <v>12</v>
      </c>
      <c r="J219" t="s">
        <v>12</v>
      </c>
    </row>
    <row r="220" spans="1:10" x14ac:dyDescent="0.35">
      <c r="A220">
        <v>219</v>
      </c>
      <c r="B220" t="s">
        <v>48</v>
      </c>
      <c r="C220" t="s">
        <v>45</v>
      </c>
      <c r="D220" t="s">
        <v>52</v>
      </c>
      <c r="E220">
        <v>0</v>
      </c>
      <c r="F220" t="s">
        <v>11</v>
      </c>
      <c r="G220" t="s">
        <v>12</v>
      </c>
      <c r="H220" t="s">
        <v>12</v>
      </c>
      <c r="I220" t="s">
        <v>12</v>
      </c>
      <c r="J220" t="s">
        <v>12</v>
      </c>
    </row>
    <row r="221" spans="1:10" x14ac:dyDescent="0.35">
      <c r="A221">
        <v>220</v>
      </c>
      <c r="B221" t="s">
        <v>44</v>
      </c>
      <c r="C221" t="s">
        <v>47</v>
      </c>
      <c r="D221" t="s">
        <v>49</v>
      </c>
      <c r="E221">
        <v>0</v>
      </c>
      <c r="F221" t="s">
        <v>11</v>
      </c>
      <c r="G221" t="s">
        <v>12</v>
      </c>
      <c r="H221" t="s">
        <v>12</v>
      </c>
      <c r="I221" t="s">
        <v>12</v>
      </c>
      <c r="J221" t="s">
        <v>12</v>
      </c>
    </row>
    <row r="222" spans="1:10" x14ac:dyDescent="0.35">
      <c r="A222">
        <v>221</v>
      </c>
      <c r="B222" t="s">
        <v>50</v>
      </c>
      <c r="C222" t="s">
        <v>45</v>
      </c>
      <c r="D222" t="s">
        <v>46</v>
      </c>
      <c r="E222">
        <v>0</v>
      </c>
      <c r="F222" t="s">
        <v>11</v>
      </c>
      <c r="G222" t="s">
        <v>12</v>
      </c>
      <c r="H222" t="s">
        <v>11</v>
      </c>
      <c r="I222" t="s">
        <v>12</v>
      </c>
      <c r="J222" t="s">
        <v>12</v>
      </c>
    </row>
    <row r="223" spans="1:10" x14ac:dyDescent="0.35">
      <c r="A223">
        <v>222</v>
      </c>
      <c r="B223" t="s">
        <v>50</v>
      </c>
      <c r="C223" t="s">
        <v>47</v>
      </c>
      <c r="D223" t="s">
        <v>49</v>
      </c>
      <c r="E223">
        <v>1</v>
      </c>
      <c r="F223" t="s">
        <v>11</v>
      </c>
      <c r="G223" t="s">
        <v>12</v>
      </c>
      <c r="H223" t="s">
        <v>11</v>
      </c>
      <c r="I223" t="s">
        <v>12</v>
      </c>
      <c r="J223" t="s">
        <v>12</v>
      </c>
    </row>
    <row r="224" spans="1:10" x14ac:dyDescent="0.35">
      <c r="A224">
        <v>223</v>
      </c>
      <c r="B224" t="s">
        <v>27</v>
      </c>
      <c r="C224" t="s">
        <v>47</v>
      </c>
      <c r="D224" t="s">
        <v>46</v>
      </c>
      <c r="E224">
        <v>0</v>
      </c>
      <c r="F224" t="s">
        <v>12</v>
      </c>
      <c r="G224" t="s">
        <v>11</v>
      </c>
      <c r="H224" t="s">
        <v>11</v>
      </c>
      <c r="I224" t="s">
        <v>12</v>
      </c>
      <c r="J224" t="s">
        <v>12</v>
      </c>
    </row>
    <row r="225" spans="1:10" x14ac:dyDescent="0.35">
      <c r="A225">
        <v>224</v>
      </c>
      <c r="B225" t="s">
        <v>48</v>
      </c>
      <c r="C225" t="s">
        <v>45</v>
      </c>
      <c r="D225" t="s">
        <v>46</v>
      </c>
      <c r="E225">
        <v>0</v>
      </c>
      <c r="F225" t="s">
        <v>11</v>
      </c>
      <c r="G225" t="s">
        <v>12</v>
      </c>
      <c r="H225" t="s">
        <v>12</v>
      </c>
      <c r="I225" t="s">
        <v>12</v>
      </c>
      <c r="J225" t="s">
        <v>12</v>
      </c>
    </row>
    <row r="226" spans="1:10" x14ac:dyDescent="0.35">
      <c r="A226">
        <v>225</v>
      </c>
      <c r="B226" t="s">
        <v>48</v>
      </c>
      <c r="C226" t="s">
        <v>47</v>
      </c>
      <c r="D226" t="s">
        <v>49</v>
      </c>
      <c r="E226">
        <v>0</v>
      </c>
      <c r="F226" t="s">
        <v>11</v>
      </c>
      <c r="G226" t="s">
        <v>12</v>
      </c>
      <c r="H226" t="s">
        <v>11</v>
      </c>
      <c r="I226" t="s">
        <v>11</v>
      </c>
      <c r="J226" t="s">
        <v>12</v>
      </c>
    </row>
    <row r="227" spans="1:10" x14ac:dyDescent="0.35">
      <c r="A227">
        <v>226</v>
      </c>
      <c r="B227" t="s">
        <v>50</v>
      </c>
      <c r="C227" t="s">
        <v>47</v>
      </c>
      <c r="D227" t="s">
        <v>46</v>
      </c>
      <c r="E227">
        <v>1</v>
      </c>
      <c r="F227" t="s">
        <v>11</v>
      </c>
      <c r="G227" t="s">
        <v>11</v>
      </c>
      <c r="H227" t="s">
        <v>11</v>
      </c>
      <c r="I227" t="s">
        <v>12</v>
      </c>
      <c r="J227" t="s">
        <v>12</v>
      </c>
    </row>
    <row r="228" spans="1:10" x14ac:dyDescent="0.35">
      <c r="A228">
        <v>227</v>
      </c>
      <c r="B228" t="s">
        <v>44</v>
      </c>
      <c r="C228" t="s">
        <v>47</v>
      </c>
      <c r="D228" t="s">
        <v>46</v>
      </c>
      <c r="E228">
        <v>0</v>
      </c>
      <c r="F228" t="s">
        <v>11</v>
      </c>
      <c r="G228" t="s">
        <v>11</v>
      </c>
      <c r="H228" t="s">
        <v>11</v>
      </c>
      <c r="I228" t="s">
        <v>11</v>
      </c>
      <c r="J228" t="s">
        <v>12</v>
      </c>
    </row>
    <row r="229" spans="1:10" x14ac:dyDescent="0.35">
      <c r="A229">
        <v>228</v>
      </c>
      <c r="B229" t="s">
        <v>50</v>
      </c>
      <c r="C229" t="s">
        <v>47</v>
      </c>
      <c r="D229" t="s">
        <v>46</v>
      </c>
      <c r="E229">
        <v>0</v>
      </c>
      <c r="F229" t="s">
        <v>11</v>
      </c>
      <c r="G229" t="s">
        <v>12</v>
      </c>
      <c r="H229" t="s">
        <v>12</v>
      </c>
      <c r="I229" t="s">
        <v>11</v>
      </c>
      <c r="J229" t="s">
        <v>12</v>
      </c>
    </row>
    <row r="230" spans="1:10" x14ac:dyDescent="0.35">
      <c r="A230">
        <v>229</v>
      </c>
      <c r="B230" t="s">
        <v>44</v>
      </c>
      <c r="C230" t="s">
        <v>54</v>
      </c>
      <c r="D230" t="s">
        <v>46</v>
      </c>
      <c r="E230">
        <v>0</v>
      </c>
      <c r="F230" t="s">
        <v>12</v>
      </c>
      <c r="G230" t="s">
        <v>12</v>
      </c>
      <c r="H230" t="s">
        <v>12</v>
      </c>
      <c r="I230" t="s">
        <v>12</v>
      </c>
      <c r="J230" t="s">
        <v>12</v>
      </c>
    </row>
    <row r="231" spans="1:10" x14ac:dyDescent="0.35">
      <c r="A231">
        <v>230</v>
      </c>
      <c r="B231" t="s">
        <v>44</v>
      </c>
      <c r="C231" t="s">
        <v>45</v>
      </c>
      <c r="D231" t="s">
        <v>49</v>
      </c>
      <c r="E231">
        <v>0</v>
      </c>
      <c r="F231" t="s">
        <v>11</v>
      </c>
      <c r="G231" t="s">
        <v>11</v>
      </c>
      <c r="H231" t="s">
        <v>11</v>
      </c>
      <c r="I231" t="s">
        <v>12</v>
      </c>
      <c r="J231" t="s">
        <v>12</v>
      </c>
    </row>
    <row r="232" spans="1:10" x14ac:dyDescent="0.35">
      <c r="A232">
        <v>231</v>
      </c>
      <c r="B232" t="s">
        <v>50</v>
      </c>
      <c r="C232" t="s">
        <v>47</v>
      </c>
      <c r="D232" t="s">
        <v>46</v>
      </c>
      <c r="E232">
        <v>0</v>
      </c>
      <c r="F232" t="s">
        <v>11</v>
      </c>
      <c r="G232" t="s">
        <v>11</v>
      </c>
      <c r="H232" t="s">
        <v>11</v>
      </c>
      <c r="I232" t="s">
        <v>12</v>
      </c>
      <c r="J232" t="s">
        <v>12</v>
      </c>
    </row>
    <row r="233" spans="1:10" x14ac:dyDescent="0.35">
      <c r="A233">
        <v>232</v>
      </c>
      <c r="B233" t="s">
        <v>44</v>
      </c>
      <c r="C233" t="s">
        <v>45</v>
      </c>
      <c r="D233" t="s">
        <v>46</v>
      </c>
      <c r="E233">
        <v>0</v>
      </c>
      <c r="F233" t="s">
        <v>11</v>
      </c>
      <c r="G233" t="s">
        <v>12</v>
      </c>
      <c r="H233" t="s">
        <v>12</v>
      </c>
      <c r="I233" t="s">
        <v>12</v>
      </c>
      <c r="J233" t="s">
        <v>12</v>
      </c>
    </row>
    <row r="234" spans="1:10" x14ac:dyDescent="0.35">
      <c r="A234">
        <v>233</v>
      </c>
      <c r="B234" t="s">
        <v>50</v>
      </c>
      <c r="C234" t="s">
        <v>47</v>
      </c>
      <c r="D234" t="s">
        <v>46</v>
      </c>
      <c r="E234">
        <v>0</v>
      </c>
      <c r="F234" t="s">
        <v>12</v>
      </c>
      <c r="G234" t="s">
        <v>12</v>
      </c>
      <c r="H234" t="s">
        <v>11</v>
      </c>
      <c r="I234" t="s">
        <v>12</v>
      </c>
      <c r="J234" t="s">
        <v>12</v>
      </c>
    </row>
    <row r="235" spans="1:10" x14ac:dyDescent="0.35">
      <c r="A235">
        <v>234</v>
      </c>
      <c r="B235" t="s">
        <v>50</v>
      </c>
      <c r="C235" t="s">
        <v>47</v>
      </c>
      <c r="D235" t="s">
        <v>46</v>
      </c>
      <c r="E235">
        <v>0</v>
      </c>
      <c r="F235" t="s">
        <v>11</v>
      </c>
      <c r="G235" t="s">
        <v>12</v>
      </c>
      <c r="H235" t="s">
        <v>12</v>
      </c>
      <c r="I235" t="s">
        <v>12</v>
      </c>
      <c r="J235" t="s">
        <v>12</v>
      </c>
    </row>
    <row r="236" spans="1:10" x14ac:dyDescent="0.35">
      <c r="A236">
        <v>235</v>
      </c>
      <c r="B236" t="s">
        <v>48</v>
      </c>
      <c r="C236" t="s">
        <v>45</v>
      </c>
      <c r="D236" t="s">
        <v>46</v>
      </c>
      <c r="E236">
        <v>0</v>
      </c>
      <c r="F236" t="s">
        <v>11</v>
      </c>
      <c r="G236" t="s">
        <v>12</v>
      </c>
      <c r="H236" t="s">
        <v>12</v>
      </c>
      <c r="I236" t="s">
        <v>12</v>
      </c>
      <c r="J236" t="s">
        <v>12</v>
      </c>
    </row>
    <row r="237" spans="1:10" x14ac:dyDescent="0.35">
      <c r="A237">
        <v>236</v>
      </c>
      <c r="B237" t="s">
        <v>50</v>
      </c>
      <c r="C237" t="s">
        <v>45</v>
      </c>
      <c r="D237" t="s">
        <v>49</v>
      </c>
      <c r="E237">
        <v>0</v>
      </c>
      <c r="F237" t="s">
        <v>11</v>
      </c>
      <c r="G237" t="s">
        <v>11</v>
      </c>
      <c r="H237" t="s">
        <v>11</v>
      </c>
      <c r="I237" t="s">
        <v>12</v>
      </c>
      <c r="J237" t="s">
        <v>12</v>
      </c>
    </row>
    <row r="238" spans="1:10" x14ac:dyDescent="0.35">
      <c r="A238">
        <v>237</v>
      </c>
      <c r="B238" t="s">
        <v>48</v>
      </c>
      <c r="C238" t="s">
        <v>47</v>
      </c>
      <c r="D238" t="s">
        <v>46</v>
      </c>
      <c r="E238">
        <v>0</v>
      </c>
      <c r="F238" t="s">
        <v>11</v>
      </c>
      <c r="G238" t="s">
        <v>11</v>
      </c>
      <c r="H238" t="s">
        <v>12</v>
      </c>
      <c r="I238" t="s">
        <v>11</v>
      </c>
      <c r="J238" t="s">
        <v>12</v>
      </c>
    </row>
    <row r="239" spans="1:10" x14ac:dyDescent="0.35">
      <c r="A239">
        <v>238</v>
      </c>
      <c r="B239" t="s">
        <v>48</v>
      </c>
      <c r="C239" t="s">
        <v>47</v>
      </c>
      <c r="D239" t="s">
        <v>52</v>
      </c>
      <c r="E239">
        <v>0</v>
      </c>
      <c r="F239" t="s">
        <v>11</v>
      </c>
      <c r="G239" t="s">
        <v>11</v>
      </c>
      <c r="H239" t="s">
        <v>11</v>
      </c>
      <c r="I239" t="s">
        <v>12</v>
      </c>
      <c r="J239" t="s">
        <v>12</v>
      </c>
    </row>
    <row r="240" spans="1:10" x14ac:dyDescent="0.35">
      <c r="A240">
        <v>239</v>
      </c>
      <c r="B240" t="s">
        <v>44</v>
      </c>
      <c r="C240" t="s">
        <v>51</v>
      </c>
      <c r="D240" t="s">
        <v>46</v>
      </c>
      <c r="E240">
        <v>0</v>
      </c>
      <c r="F240" t="s">
        <v>11</v>
      </c>
      <c r="G240" t="s">
        <v>11</v>
      </c>
      <c r="H240" t="s">
        <v>11</v>
      </c>
      <c r="I240" t="s">
        <v>12</v>
      </c>
      <c r="J240" t="s">
        <v>12</v>
      </c>
    </row>
    <row r="241" spans="1:10" x14ac:dyDescent="0.35">
      <c r="A241">
        <v>240</v>
      </c>
      <c r="B241" t="s">
        <v>50</v>
      </c>
      <c r="C241" t="s">
        <v>47</v>
      </c>
      <c r="D241" t="s">
        <v>46</v>
      </c>
      <c r="E241">
        <v>1</v>
      </c>
      <c r="F241" t="s">
        <v>11</v>
      </c>
      <c r="G241" t="s">
        <v>11</v>
      </c>
      <c r="H241" t="s">
        <v>11</v>
      </c>
      <c r="I241" t="s">
        <v>12</v>
      </c>
      <c r="J241" t="s">
        <v>11</v>
      </c>
    </row>
    <row r="242" spans="1:10" x14ac:dyDescent="0.35">
      <c r="A242">
        <v>241</v>
      </c>
      <c r="B242" t="s">
        <v>44</v>
      </c>
      <c r="C242" t="s">
        <v>45</v>
      </c>
      <c r="D242" t="s">
        <v>46</v>
      </c>
      <c r="E242">
        <v>0</v>
      </c>
      <c r="F242" t="s">
        <v>11</v>
      </c>
      <c r="G242" t="s">
        <v>11</v>
      </c>
      <c r="H242" t="s">
        <v>11</v>
      </c>
      <c r="I242" t="s">
        <v>12</v>
      </c>
      <c r="J242" t="s">
        <v>12</v>
      </c>
    </row>
    <row r="243" spans="1:10" x14ac:dyDescent="0.35">
      <c r="A243">
        <v>242</v>
      </c>
      <c r="B243" t="s">
        <v>44</v>
      </c>
      <c r="C243" t="s">
        <v>45</v>
      </c>
      <c r="D243" t="s">
        <v>46</v>
      </c>
      <c r="E243">
        <v>0</v>
      </c>
      <c r="F243" t="s">
        <v>11</v>
      </c>
      <c r="G243" t="s">
        <v>12</v>
      </c>
      <c r="H243" t="s">
        <v>12</v>
      </c>
      <c r="I243" t="s">
        <v>12</v>
      </c>
      <c r="J243" t="s">
        <v>12</v>
      </c>
    </row>
    <row r="244" spans="1:10" x14ac:dyDescent="0.35">
      <c r="A244">
        <v>243</v>
      </c>
      <c r="B244" t="s">
        <v>44</v>
      </c>
      <c r="C244" t="s">
        <v>47</v>
      </c>
      <c r="D244" t="s">
        <v>52</v>
      </c>
      <c r="E244">
        <v>0</v>
      </c>
      <c r="F244" t="s">
        <v>11</v>
      </c>
      <c r="G244" t="s">
        <v>11</v>
      </c>
      <c r="H244" t="s">
        <v>11</v>
      </c>
      <c r="I244" t="s">
        <v>11</v>
      </c>
      <c r="J244" t="s">
        <v>12</v>
      </c>
    </row>
    <row r="245" spans="1:10" x14ac:dyDescent="0.35">
      <c r="A245">
        <v>244</v>
      </c>
      <c r="B245" t="s">
        <v>44</v>
      </c>
      <c r="C245" t="s">
        <v>47</v>
      </c>
      <c r="D245" t="s">
        <v>52</v>
      </c>
      <c r="E245">
        <v>0</v>
      </c>
      <c r="F245" t="s">
        <v>11</v>
      </c>
      <c r="G245" t="s">
        <v>11</v>
      </c>
      <c r="H245" t="s">
        <v>11</v>
      </c>
      <c r="I245" t="s">
        <v>12</v>
      </c>
      <c r="J245" t="s">
        <v>12</v>
      </c>
    </row>
    <row r="246" spans="1:10" x14ac:dyDescent="0.35">
      <c r="A246">
        <v>245</v>
      </c>
      <c r="B246" t="s">
        <v>44</v>
      </c>
      <c r="C246" t="s">
        <v>45</v>
      </c>
      <c r="D246" t="s">
        <v>49</v>
      </c>
      <c r="E246">
        <v>0</v>
      </c>
      <c r="F246" t="s">
        <v>11</v>
      </c>
      <c r="G246" t="s">
        <v>12</v>
      </c>
      <c r="H246" t="s">
        <v>12</v>
      </c>
      <c r="I246" t="s">
        <v>11</v>
      </c>
      <c r="J246" t="s">
        <v>12</v>
      </c>
    </row>
    <row r="247" spans="1:10" x14ac:dyDescent="0.35">
      <c r="A247">
        <v>246</v>
      </c>
      <c r="B247" t="s">
        <v>44</v>
      </c>
      <c r="C247" t="s">
        <v>51</v>
      </c>
      <c r="D247" t="s">
        <v>52</v>
      </c>
      <c r="E247">
        <v>0</v>
      </c>
      <c r="F247" t="s">
        <v>11</v>
      </c>
      <c r="G247" t="s">
        <v>11</v>
      </c>
      <c r="H247" t="s">
        <v>11</v>
      </c>
      <c r="I247" t="s">
        <v>12</v>
      </c>
      <c r="J247" t="s">
        <v>12</v>
      </c>
    </row>
    <row r="248" spans="1:10" x14ac:dyDescent="0.35">
      <c r="A248">
        <v>247</v>
      </c>
      <c r="B248" t="s">
        <v>44</v>
      </c>
      <c r="C248" t="s">
        <v>45</v>
      </c>
      <c r="D248" t="s">
        <v>52</v>
      </c>
      <c r="E248">
        <v>0</v>
      </c>
      <c r="F248" t="s">
        <v>11</v>
      </c>
      <c r="G248" t="s">
        <v>11</v>
      </c>
      <c r="H248" t="s">
        <v>11</v>
      </c>
      <c r="I248" t="s">
        <v>12</v>
      </c>
      <c r="J248" t="s">
        <v>12</v>
      </c>
    </row>
    <row r="249" spans="1:10" x14ac:dyDescent="0.35">
      <c r="A249">
        <v>248</v>
      </c>
      <c r="B249" t="s">
        <v>27</v>
      </c>
      <c r="C249" t="s">
        <v>47</v>
      </c>
      <c r="D249" t="s">
        <v>52</v>
      </c>
      <c r="E249">
        <v>3</v>
      </c>
      <c r="F249" t="s">
        <v>11</v>
      </c>
      <c r="G249" t="s">
        <v>11</v>
      </c>
      <c r="H249" t="s">
        <v>11</v>
      </c>
      <c r="I249" t="s">
        <v>11</v>
      </c>
      <c r="J249" t="s">
        <v>11</v>
      </c>
    </row>
    <row r="250" spans="1:10" x14ac:dyDescent="0.35">
      <c r="A250">
        <v>249</v>
      </c>
      <c r="B250" t="s">
        <v>44</v>
      </c>
      <c r="C250" t="s">
        <v>47</v>
      </c>
      <c r="D250" t="s">
        <v>46</v>
      </c>
      <c r="E250">
        <v>1</v>
      </c>
      <c r="F250" t="s">
        <v>11</v>
      </c>
      <c r="G250" t="s">
        <v>12</v>
      </c>
      <c r="H250" t="s">
        <v>11</v>
      </c>
      <c r="I250" t="s">
        <v>12</v>
      </c>
      <c r="J250" t="s">
        <v>12</v>
      </c>
    </row>
    <row r="251" spans="1:10" x14ac:dyDescent="0.35">
      <c r="A251">
        <v>250</v>
      </c>
      <c r="B251" t="s">
        <v>27</v>
      </c>
      <c r="C251" t="s">
        <v>47</v>
      </c>
      <c r="D251" t="s">
        <v>52</v>
      </c>
      <c r="E251">
        <v>0</v>
      </c>
      <c r="F251" t="s">
        <v>11</v>
      </c>
      <c r="G251" t="s">
        <v>11</v>
      </c>
      <c r="H251" t="s">
        <v>12</v>
      </c>
      <c r="I251" t="s">
        <v>11</v>
      </c>
      <c r="J251" t="s">
        <v>12</v>
      </c>
    </row>
    <row r="252" spans="1:10" x14ac:dyDescent="0.35">
      <c r="A252">
        <v>251</v>
      </c>
      <c r="B252" t="s">
        <v>44</v>
      </c>
      <c r="C252" t="s">
        <v>45</v>
      </c>
      <c r="D252" t="s">
        <v>52</v>
      </c>
      <c r="E252">
        <v>1</v>
      </c>
      <c r="F252" t="s">
        <v>11</v>
      </c>
      <c r="G252" t="s">
        <v>11</v>
      </c>
      <c r="H252" t="s">
        <v>11</v>
      </c>
      <c r="I252" t="s">
        <v>12</v>
      </c>
      <c r="J252" t="s">
        <v>11</v>
      </c>
    </row>
    <row r="253" spans="1:10" x14ac:dyDescent="0.35">
      <c r="A253">
        <v>252</v>
      </c>
      <c r="B253" t="s">
        <v>50</v>
      </c>
      <c r="C253" t="s">
        <v>51</v>
      </c>
      <c r="D253" t="s">
        <v>46</v>
      </c>
      <c r="E253">
        <v>0</v>
      </c>
      <c r="F253" t="s">
        <v>12</v>
      </c>
      <c r="G253" t="s">
        <v>12</v>
      </c>
      <c r="H253" t="s">
        <v>11</v>
      </c>
      <c r="I253" t="s">
        <v>11</v>
      </c>
      <c r="J253" t="s">
        <v>12</v>
      </c>
    </row>
    <row r="254" spans="1:10" x14ac:dyDescent="0.35">
      <c r="A254">
        <v>253</v>
      </c>
      <c r="B254" t="s">
        <v>27</v>
      </c>
      <c r="C254" t="s">
        <v>47</v>
      </c>
      <c r="D254" t="s">
        <v>52</v>
      </c>
      <c r="E254">
        <v>1</v>
      </c>
      <c r="F254" t="s">
        <v>11</v>
      </c>
      <c r="G254" t="s">
        <v>11</v>
      </c>
      <c r="H254" t="s">
        <v>11</v>
      </c>
      <c r="I254" t="s">
        <v>11</v>
      </c>
      <c r="J254" t="s">
        <v>11</v>
      </c>
    </row>
    <row r="255" spans="1:10" x14ac:dyDescent="0.35">
      <c r="A255">
        <v>254</v>
      </c>
      <c r="B255" t="s">
        <v>44</v>
      </c>
      <c r="C255" t="s">
        <v>45</v>
      </c>
      <c r="D255" t="s">
        <v>52</v>
      </c>
      <c r="E255">
        <v>0</v>
      </c>
      <c r="F255" t="s">
        <v>11</v>
      </c>
      <c r="G255" t="s">
        <v>11</v>
      </c>
      <c r="H255" t="s">
        <v>11</v>
      </c>
      <c r="I255" t="s">
        <v>11</v>
      </c>
      <c r="J255" t="s">
        <v>12</v>
      </c>
    </row>
    <row r="256" spans="1:10" x14ac:dyDescent="0.35">
      <c r="A256">
        <v>255</v>
      </c>
      <c r="B256" t="s">
        <v>44</v>
      </c>
      <c r="C256" t="s">
        <v>47</v>
      </c>
      <c r="D256" t="s">
        <v>52</v>
      </c>
      <c r="E256">
        <v>0</v>
      </c>
      <c r="F256" t="s">
        <v>11</v>
      </c>
      <c r="G256" t="s">
        <v>11</v>
      </c>
      <c r="H256" t="s">
        <v>11</v>
      </c>
      <c r="I256" t="s">
        <v>11</v>
      </c>
      <c r="J256" t="s">
        <v>12</v>
      </c>
    </row>
    <row r="257" spans="1:10" x14ac:dyDescent="0.35">
      <c r="A257">
        <v>256</v>
      </c>
      <c r="B257" t="s">
        <v>44</v>
      </c>
      <c r="C257" t="s">
        <v>45</v>
      </c>
      <c r="D257" t="s">
        <v>52</v>
      </c>
      <c r="E257">
        <v>1</v>
      </c>
      <c r="F257" t="s">
        <v>11</v>
      </c>
      <c r="G257" t="s">
        <v>12</v>
      </c>
      <c r="H257" t="s">
        <v>11</v>
      </c>
      <c r="I257" t="s">
        <v>12</v>
      </c>
      <c r="J257" t="s">
        <v>12</v>
      </c>
    </row>
    <row r="258" spans="1:10" x14ac:dyDescent="0.35">
      <c r="A258">
        <v>257</v>
      </c>
      <c r="B258" t="s">
        <v>50</v>
      </c>
      <c r="C258" t="s">
        <v>47</v>
      </c>
      <c r="D258" t="s">
        <v>53</v>
      </c>
      <c r="E258">
        <v>0</v>
      </c>
      <c r="F258" t="s">
        <v>11</v>
      </c>
      <c r="G258" t="s">
        <v>12</v>
      </c>
      <c r="H258" t="s">
        <v>12</v>
      </c>
      <c r="I258" t="s">
        <v>12</v>
      </c>
      <c r="J258" t="s">
        <v>12</v>
      </c>
    </row>
    <row r="259" spans="1:10" x14ac:dyDescent="0.35">
      <c r="A259">
        <v>258</v>
      </c>
      <c r="B259" t="s">
        <v>50</v>
      </c>
      <c r="C259" t="s">
        <v>47</v>
      </c>
      <c r="D259" t="s">
        <v>46</v>
      </c>
      <c r="E259">
        <v>0</v>
      </c>
      <c r="F259" t="s">
        <v>11</v>
      </c>
      <c r="G259" t="s">
        <v>12</v>
      </c>
      <c r="H259" t="s">
        <v>11</v>
      </c>
      <c r="I259" t="s">
        <v>12</v>
      </c>
      <c r="J259" t="s">
        <v>12</v>
      </c>
    </row>
    <row r="260" spans="1:10" x14ac:dyDescent="0.35">
      <c r="A260">
        <v>259</v>
      </c>
      <c r="B260" t="s">
        <v>48</v>
      </c>
      <c r="C260" t="s">
        <v>47</v>
      </c>
      <c r="D260" t="s">
        <v>46</v>
      </c>
      <c r="E260">
        <v>0</v>
      </c>
      <c r="F260" t="s">
        <v>11</v>
      </c>
      <c r="G260" t="s">
        <v>11</v>
      </c>
      <c r="H260" t="s">
        <v>11</v>
      </c>
      <c r="I260" t="s">
        <v>12</v>
      </c>
      <c r="J260" t="s">
        <v>12</v>
      </c>
    </row>
    <row r="261" spans="1:10" x14ac:dyDescent="0.35">
      <c r="A261">
        <v>260</v>
      </c>
      <c r="B261" t="s">
        <v>44</v>
      </c>
      <c r="C261" t="s">
        <v>47</v>
      </c>
      <c r="D261" t="s">
        <v>53</v>
      </c>
      <c r="E261">
        <v>0</v>
      </c>
      <c r="F261" t="s">
        <v>11</v>
      </c>
      <c r="G261" t="s">
        <v>11</v>
      </c>
      <c r="H261" t="s">
        <v>12</v>
      </c>
      <c r="I261" t="s">
        <v>12</v>
      </c>
      <c r="J261" t="s">
        <v>12</v>
      </c>
    </row>
    <row r="262" spans="1:10" x14ac:dyDescent="0.35">
      <c r="A262">
        <v>261</v>
      </c>
      <c r="B262" t="s">
        <v>48</v>
      </c>
      <c r="C262" t="s">
        <v>47</v>
      </c>
      <c r="D262" t="s">
        <v>46</v>
      </c>
      <c r="E262">
        <v>0</v>
      </c>
      <c r="F262" t="s">
        <v>11</v>
      </c>
      <c r="G262" t="s">
        <v>12</v>
      </c>
      <c r="H262" t="s">
        <v>12</v>
      </c>
      <c r="I262" t="s">
        <v>12</v>
      </c>
      <c r="J262" t="s">
        <v>12</v>
      </c>
    </row>
    <row r="263" spans="1:10" x14ac:dyDescent="0.35">
      <c r="A263">
        <v>262</v>
      </c>
      <c r="B263" t="s">
        <v>44</v>
      </c>
      <c r="C263" t="s">
        <v>47</v>
      </c>
      <c r="D263" t="s">
        <v>46</v>
      </c>
      <c r="E263">
        <v>0</v>
      </c>
      <c r="F263" t="s">
        <v>11</v>
      </c>
      <c r="G263" t="s">
        <v>12</v>
      </c>
      <c r="H263" t="s">
        <v>12</v>
      </c>
      <c r="I263" t="s">
        <v>11</v>
      </c>
      <c r="J263" t="s">
        <v>12</v>
      </c>
    </row>
    <row r="264" spans="1:10" x14ac:dyDescent="0.35">
      <c r="A264">
        <v>263</v>
      </c>
      <c r="B264" t="s">
        <v>44</v>
      </c>
      <c r="C264" t="s">
        <v>47</v>
      </c>
      <c r="D264" t="s">
        <v>49</v>
      </c>
      <c r="E264">
        <v>0</v>
      </c>
      <c r="F264" t="s">
        <v>11</v>
      </c>
      <c r="G264" t="s">
        <v>11</v>
      </c>
      <c r="H264" t="s">
        <v>11</v>
      </c>
      <c r="I264" t="s">
        <v>11</v>
      </c>
      <c r="J264" t="s">
        <v>12</v>
      </c>
    </row>
    <row r="265" spans="1:10" x14ac:dyDescent="0.35">
      <c r="A265">
        <v>264</v>
      </c>
      <c r="B265" t="s">
        <v>48</v>
      </c>
      <c r="C265" t="s">
        <v>47</v>
      </c>
      <c r="D265" t="s">
        <v>49</v>
      </c>
      <c r="E265">
        <v>0</v>
      </c>
      <c r="F265" t="s">
        <v>11</v>
      </c>
      <c r="G265" t="s">
        <v>11</v>
      </c>
      <c r="H265" t="s">
        <v>11</v>
      </c>
      <c r="I265" t="s">
        <v>11</v>
      </c>
      <c r="J265" t="s">
        <v>12</v>
      </c>
    </row>
    <row r="266" spans="1:10" x14ac:dyDescent="0.35">
      <c r="A266">
        <v>265</v>
      </c>
      <c r="B266" t="s">
        <v>48</v>
      </c>
      <c r="C266" t="s">
        <v>47</v>
      </c>
      <c r="D266" t="s">
        <v>49</v>
      </c>
      <c r="E266">
        <v>0</v>
      </c>
      <c r="F266" t="s">
        <v>11</v>
      </c>
      <c r="G266" t="s">
        <v>12</v>
      </c>
      <c r="H266" t="s">
        <v>12</v>
      </c>
      <c r="I266" t="s">
        <v>12</v>
      </c>
      <c r="J266" t="s">
        <v>12</v>
      </c>
    </row>
    <row r="267" spans="1:10" x14ac:dyDescent="0.35">
      <c r="A267">
        <v>266</v>
      </c>
      <c r="B267" t="s">
        <v>50</v>
      </c>
      <c r="C267" t="s">
        <v>45</v>
      </c>
      <c r="D267" t="s">
        <v>46</v>
      </c>
      <c r="E267">
        <v>0</v>
      </c>
      <c r="F267" t="s">
        <v>11</v>
      </c>
      <c r="G267" t="s">
        <v>12</v>
      </c>
      <c r="H267" t="s">
        <v>12</v>
      </c>
      <c r="I267" t="s">
        <v>12</v>
      </c>
      <c r="J267" t="s">
        <v>12</v>
      </c>
    </row>
    <row r="268" spans="1:10" x14ac:dyDescent="0.35">
      <c r="A268">
        <v>267</v>
      </c>
      <c r="B268" t="s">
        <v>27</v>
      </c>
      <c r="C268" t="s">
        <v>47</v>
      </c>
      <c r="D268" t="s">
        <v>46</v>
      </c>
      <c r="E268">
        <v>0</v>
      </c>
      <c r="F268" t="s">
        <v>11</v>
      </c>
      <c r="G268" t="s">
        <v>11</v>
      </c>
      <c r="H268" t="s">
        <v>12</v>
      </c>
      <c r="I268" t="s">
        <v>12</v>
      </c>
      <c r="J268" t="s">
        <v>12</v>
      </c>
    </row>
    <row r="269" spans="1:10" x14ac:dyDescent="0.35">
      <c r="A269">
        <v>268</v>
      </c>
      <c r="B269" t="s">
        <v>50</v>
      </c>
      <c r="C269" t="s">
        <v>45</v>
      </c>
      <c r="D269" t="s">
        <v>46</v>
      </c>
      <c r="E269">
        <v>0</v>
      </c>
      <c r="F269" t="s">
        <v>11</v>
      </c>
      <c r="G269" t="s">
        <v>11</v>
      </c>
      <c r="H269" t="s">
        <v>12</v>
      </c>
      <c r="I269" t="s">
        <v>12</v>
      </c>
      <c r="J269" t="s">
        <v>12</v>
      </c>
    </row>
    <row r="270" spans="1:10" x14ac:dyDescent="0.35">
      <c r="A270">
        <v>269</v>
      </c>
      <c r="B270" t="s">
        <v>50</v>
      </c>
      <c r="C270" t="s">
        <v>47</v>
      </c>
      <c r="D270" t="s">
        <v>46</v>
      </c>
      <c r="E270">
        <v>0</v>
      </c>
      <c r="F270" t="s">
        <v>11</v>
      </c>
      <c r="G270" t="s">
        <v>12</v>
      </c>
      <c r="H270" t="s">
        <v>12</v>
      </c>
      <c r="I270" t="s">
        <v>12</v>
      </c>
      <c r="J270" t="s">
        <v>12</v>
      </c>
    </row>
    <row r="271" spans="1:10" x14ac:dyDescent="0.35">
      <c r="A271">
        <v>270</v>
      </c>
      <c r="B271" t="s">
        <v>50</v>
      </c>
      <c r="C271" t="s">
        <v>45</v>
      </c>
      <c r="D271" t="s">
        <v>46</v>
      </c>
      <c r="E271">
        <v>0</v>
      </c>
      <c r="F271" t="s">
        <v>11</v>
      </c>
      <c r="G271" t="s">
        <v>12</v>
      </c>
      <c r="H271" t="s">
        <v>11</v>
      </c>
      <c r="I271" t="s">
        <v>12</v>
      </c>
      <c r="J271" t="s">
        <v>11</v>
      </c>
    </row>
    <row r="272" spans="1:10" x14ac:dyDescent="0.35">
      <c r="A272">
        <v>271</v>
      </c>
      <c r="B272" t="s">
        <v>48</v>
      </c>
      <c r="C272" t="s">
        <v>47</v>
      </c>
      <c r="D272" t="s">
        <v>46</v>
      </c>
      <c r="E272">
        <v>2</v>
      </c>
      <c r="F272" t="s">
        <v>11</v>
      </c>
      <c r="G272" t="s">
        <v>12</v>
      </c>
      <c r="H272" t="s">
        <v>12</v>
      </c>
      <c r="I272" t="s">
        <v>12</v>
      </c>
      <c r="J272" t="s">
        <v>12</v>
      </c>
    </row>
    <row r="273" spans="1:10" x14ac:dyDescent="0.35">
      <c r="A273">
        <v>272</v>
      </c>
      <c r="B273" t="s">
        <v>50</v>
      </c>
      <c r="C273" t="s">
        <v>47</v>
      </c>
      <c r="D273" t="s">
        <v>53</v>
      </c>
      <c r="E273">
        <v>0</v>
      </c>
      <c r="F273" t="s">
        <v>11</v>
      </c>
      <c r="G273" t="s">
        <v>12</v>
      </c>
      <c r="H273" t="s">
        <v>12</v>
      </c>
      <c r="I273" t="s">
        <v>12</v>
      </c>
      <c r="J273" t="s">
        <v>12</v>
      </c>
    </row>
    <row r="274" spans="1:10" x14ac:dyDescent="0.35">
      <c r="A274">
        <v>273</v>
      </c>
      <c r="B274" t="s">
        <v>48</v>
      </c>
      <c r="C274" t="s">
        <v>45</v>
      </c>
      <c r="D274" t="s">
        <v>46</v>
      </c>
      <c r="E274">
        <v>0</v>
      </c>
      <c r="F274" t="s">
        <v>11</v>
      </c>
      <c r="G274" t="s">
        <v>12</v>
      </c>
      <c r="H274" t="s">
        <v>12</v>
      </c>
      <c r="I274" t="s">
        <v>11</v>
      </c>
      <c r="J274" t="s">
        <v>12</v>
      </c>
    </row>
    <row r="275" spans="1:10" x14ac:dyDescent="0.35">
      <c r="A275">
        <v>274</v>
      </c>
      <c r="B275" t="s">
        <v>48</v>
      </c>
      <c r="C275" t="s">
        <v>47</v>
      </c>
      <c r="D275" t="s">
        <v>46</v>
      </c>
      <c r="E275">
        <v>0</v>
      </c>
      <c r="F275" t="s">
        <v>11</v>
      </c>
      <c r="G275" t="s">
        <v>12</v>
      </c>
      <c r="H275" t="s">
        <v>12</v>
      </c>
      <c r="I275" t="s">
        <v>11</v>
      </c>
      <c r="J275" t="s">
        <v>12</v>
      </c>
    </row>
    <row r="276" spans="1:10" x14ac:dyDescent="0.35">
      <c r="A276">
        <v>275</v>
      </c>
      <c r="B276" t="s">
        <v>50</v>
      </c>
      <c r="C276" t="s">
        <v>45</v>
      </c>
      <c r="D276" t="s">
        <v>46</v>
      </c>
      <c r="E276">
        <v>0</v>
      </c>
      <c r="F276" t="s">
        <v>11</v>
      </c>
      <c r="G276" t="s">
        <v>12</v>
      </c>
      <c r="H276" t="s">
        <v>12</v>
      </c>
      <c r="I276" t="s">
        <v>12</v>
      </c>
      <c r="J276" t="s">
        <v>12</v>
      </c>
    </row>
    <row r="277" spans="1:10" x14ac:dyDescent="0.35">
      <c r="A277">
        <v>276</v>
      </c>
      <c r="B277" t="s">
        <v>44</v>
      </c>
      <c r="C277" t="s">
        <v>45</v>
      </c>
      <c r="D277" t="s">
        <v>46</v>
      </c>
      <c r="E277">
        <v>0</v>
      </c>
      <c r="F277" t="s">
        <v>12</v>
      </c>
      <c r="G277" t="s">
        <v>12</v>
      </c>
      <c r="H277" t="s">
        <v>12</v>
      </c>
      <c r="I277" t="s">
        <v>12</v>
      </c>
      <c r="J277" t="s">
        <v>12</v>
      </c>
    </row>
    <row r="278" spans="1:10" x14ac:dyDescent="0.35">
      <c r="A278">
        <v>277</v>
      </c>
      <c r="B278" t="s">
        <v>48</v>
      </c>
      <c r="C278" t="s">
        <v>45</v>
      </c>
      <c r="D278" t="s">
        <v>46</v>
      </c>
      <c r="E278">
        <v>0</v>
      </c>
      <c r="F278" t="s">
        <v>11</v>
      </c>
      <c r="G278" t="s">
        <v>11</v>
      </c>
      <c r="H278" t="s">
        <v>11</v>
      </c>
      <c r="I278" t="s">
        <v>11</v>
      </c>
      <c r="J278" t="s">
        <v>11</v>
      </c>
    </row>
    <row r="279" spans="1:10" x14ac:dyDescent="0.35">
      <c r="A279">
        <v>278</v>
      </c>
      <c r="B279" t="s">
        <v>48</v>
      </c>
      <c r="C279" t="s">
        <v>45</v>
      </c>
      <c r="D279" t="s">
        <v>52</v>
      </c>
      <c r="E279">
        <v>0</v>
      </c>
      <c r="F279" t="s">
        <v>11</v>
      </c>
      <c r="G279" t="s">
        <v>11</v>
      </c>
      <c r="H279" t="s">
        <v>12</v>
      </c>
      <c r="I279" t="s">
        <v>12</v>
      </c>
      <c r="J279" t="s">
        <v>12</v>
      </c>
    </row>
    <row r="280" spans="1:10" x14ac:dyDescent="0.35">
      <c r="A280">
        <v>279</v>
      </c>
      <c r="B280" t="s">
        <v>50</v>
      </c>
      <c r="C280" t="s">
        <v>47</v>
      </c>
      <c r="D280" t="s">
        <v>46</v>
      </c>
      <c r="E280">
        <v>1</v>
      </c>
      <c r="F280" t="s">
        <v>12</v>
      </c>
      <c r="G280" t="s">
        <v>12</v>
      </c>
      <c r="H280" t="s">
        <v>11</v>
      </c>
      <c r="I280" t="s">
        <v>12</v>
      </c>
      <c r="J280" t="s">
        <v>12</v>
      </c>
    </row>
    <row r="281" spans="1:10" x14ac:dyDescent="0.35">
      <c r="A281">
        <v>280</v>
      </c>
      <c r="B281" t="s">
        <v>44</v>
      </c>
      <c r="C281" t="s">
        <v>45</v>
      </c>
      <c r="D281" t="s">
        <v>52</v>
      </c>
      <c r="E281">
        <v>0</v>
      </c>
      <c r="F281" t="s">
        <v>11</v>
      </c>
      <c r="G281" t="s">
        <v>11</v>
      </c>
      <c r="H281" t="s">
        <v>12</v>
      </c>
      <c r="I281" t="s">
        <v>12</v>
      </c>
      <c r="J281" t="s">
        <v>12</v>
      </c>
    </row>
    <row r="282" spans="1:10" x14ac:dyDescent="0.35">
      <c r="A282">
        <v>281</v>
      </c>
      <c r="B282" t="s">
        <v>48</v>
      </c>
      <c r="C282" t="s">
        <v>45</v>
      </c>
      <c r="D282" t="s">
        <v>52</v>
      </c>
      <c r="E282">
        <v>0</v>
      </c>
      <c r="F282" t="s">
        <v>11</v>
      </c>
      <c r="G282" t="s">
        <v>11</v>
      </c>
      <c r="H282" t="s">
        <v>12</v>
      </c>
      <c r="I282" t="s">
        <v>12</v>
      </c>
      <c r="J282" t="s">
        <v>12</v>
      </c>
    </row>
    <row r="283" spans="1:10" x14ac:dyDescent="0.35">
      <c r="A283">
        <v>282</v>
      </c>
      <c r="B283" t="s">
        <v>48</v>
      </c>
      <c r="C283" t="s">
        <v>47</v>
      </c>
      <c r="D283" t="s">
        <v>52</v>
      </c>
      <c r="E283">
        <v>1</v>
      </c>
      <c r="F283" t="s">
        <v>11</v>
      </c>
      <c r="G283" t="s">
        <v>11</v>
      </c>
      <c r="H283" t="s">
        <v>11</v>
      </c>
      <c r="I283" t="s">
        <v>12</v>
      </c>
      <c r="J283" t="s">
        <v>12</v>
      </c>
    </row>
    <row r="284" spans="1:10" x14ac:dyDescent="0.35">
      <c r="A284">
        <v>283</v>
      </c>
      <c r="B284" t="s">
        <v>50</v>
      </c>
      <c r="C284" t="s">
        <v>45</v>
      </c>
      <c r="D284" t="s">
        <v>53</v>
      </c>
      <c r="E284">
        <v>0</v>
      </c>
      <c r="F284" t="s">
        <v>11</v>
      </c>
      <c r="G284" t="s">
        <v>12</v>
      </c>
      <c r="H284" t="s">
        <v>12</v>
      </c>
      <c r="I284" t="s">
        <v>12</v>
      </c>
      <c r="J284" t="s">
        <v>12</v>
      </c>
    </row>
    <row r="285" spans="1:10" x14ac:dyDescent="0.35">
      <c r="A285">
        <v>284</v>
      </c>
      <c r="B285" t="s">
        <v>48</v>
      </c>
      <c r="C285" t="s">
        <v>45</v>
      </c>
      <c r="D285" t="s">
        <v>46</v>
      </c>
      <c r="E285">
        <v>0</v>
      </c>
      <c r="F285" t="s">
        <v>12</v>
      </c>
      <c r="G285" t="s">
        <v>11</v>
      </c>
      <c r="H285" t="s">
        <v>11</v>
      </c>
      <c r="I285" t="s">
        <v>12</v>
      </c>
      <c r="J285" t="s">
        <v>12</v>
      </c>
    </row>
    <row r="286" spans="1:10" x14ac:dyDescent="0.35">
      <c r="A286">
        <v>285</v>
      </c>
      <c r="B286" t="s">
        <v>44</v>
      </c>
      <c r="C286" t="s">
        <v>47</v>
      </c>
      <c r="D286" t="s">
        <v>46</v>
      </c>
      <c r="E286">
        <v>0</v>
      </c>
      <c r="F286" t="s">
        <v>11</v>
      </c>
      <c r="G286" t="s">
        <v>12</v>
      </c>
      <c r="H286" t="s">
        <v>11</v>
      </c>
      <c r="I286" t="s">
        <v>11</v>
      </c>
      <c r="J286" t="s">
        <v>12</v>
      </c>
    </row>
    <row r="287" spans="1:10" x14ac:dyDescent="0.35">
      <c r="A287">
        <v>286</v>
      </c>
      <c r="B287" t="s">
        <v>50</v>
      </c>
      <c r="C287" t="s">
        <v>47</v>
      </c>
      <c r="D287" t="s">
        <v>46</v>
      </c>
      <c r="E287">
        <v>0</v>
      </c>
      <c r="F287" t="s">
        <v>11</v>
      </c>
      <c r="G287" t="s">
        <v>11</v>
      </c>
      <c r="H287" t="s">
        <v>12</v>
      </c>
      <c r="I287" t="s">
        <v>11</v>
      </c>
      <c r="J287" t="s">
        <v>12</v>
      </c>
    </row>
    <row r="288" spans="1:10" x14ac:dyDescent="0.35">
      <c r="A288">
        <v>287</v>
      </c>
      <c r="B288" t="s">
        <v>27</v>
      </c>
      <c r="C288" t="s">
        <v>47</v>
      </c>
      <c r="D288" t="s">
        <v>49</v>
      </c>
      <c r="E288">
        <v>0</v>
      </c>
      <c r="F288" t="s">
        <v>11</v>
      </c>
      <c r="G288" t="s">
        <v>12</v>
      </c>
      <c r="H288" t="s">
        <v>12</v>
      </c>
      <c r="I288" t="s">
        <v>12</v>
      </c>
      <c r="J288" t="s">
        <v>12</v>
      </c>
    </row>
    <row r="289" spans="1:10" x14ac:dyDescent="0.35">
      <c r="A289">
        <v>288</v>
      </c>
      <c r="B289" t="s">
        <v>50</v>
      </c>
      <c r="C289" t="s">
        <v>47</v>
      </c>
      <c r="D289" t="s">
        <v>49</v>
      </c>
      <c r="E289">
        <v>0</v>
      </c>
      <c r="F289" t="s">
        <v>11</v>
      </c>
      <c r="G289" t="s">
        <v>12</v>
      </c>
      <c r="H289" t="s">
        <v>12</v>
      </c>
      <c r="I289" t="s">
        <v>12</v>
      </c>
      <c r="J289" t="s">
        <v>12</v>
      </c>
    </row>
    <row r="290" spans="1:10" x14ac:dyDescent="0.35">
      <c r="A290">
        <v>289</v>
      </c>
      <c r="B290" t="s">
        <v>50</v>
      </c>
      <c r="C290" t="s">
        <v>47</v>
      </c>
      <c r="D290" t="s">
        <v>49</v>
      </c>
      <c r="E290">
        <v>0</v>
      </c>
      <c r="F290" t="s">
        <v>11</v>
      </c>
      <c r="G290" t="s">
        <v>11</v>
      </c>
      <c r="H290" t="s">
        <v>12</v>
      </c>
      <c r="I290" t="s">
        <v>12</v>
      </c>
      <c r="J290" t="s">
        <v>12</v>
      </c>
    </row>
    <row r="291" spans="1:10" x14ac:dyDescent="0.35">
      <c r="A291">
        <v>290</v>
      </c>
      <c r="B291" t="s">
        <v>50</v>
      </c>
      <c r="C291" t="s">
        <v>47</v>
      </c>
      <c r="D291" t="s">
        <v>46</v>
      </c>
      <c r="E291">
        <v>0</v>
      </c>
      <c r="F291" t="s">
        <v>11</v>
      </c>
      <c r="G291" t="s">
        <v>12</v>
      </c>
      <c r="H291" t="s">
        <v>12</v>
      </c>
      <c r="I291" t="s">
        <v>12</v>
      </c>
      <c r="J291" t="s">
        <v>12</v>
      </c>
    </row>
    <row r="292" spans="1:10" x14ac:dyDescent="0.35">
      <c r="A292">
        <v>291</v>
      </c>
      <c r="B292" t="s">
        <v>48</v>
      </c>
      <c r="C292" t="s">
        <v>47</v>
      </c>
      <c r="D292" t="s">
        <v>46</v>
      </c>
      <c r="E292">
        <v>0</v>
      </c>
      <c r="F292" t="s">
        <v>11</v>
      </c>
      <c r="G292" t="s">
        <v>12</v>
      </c>
      <c r="H292" t="s">
        <v>12</v>
      </c>
      <c r="I292" t="s">
        <v>12</v>
      </c>
      <c r="J292" t="s">
        <v>12</v>
      </c>
    </row>
    <row r="293" spans="1:10" x14ac:dyDescent="0.35">
      <c r="A293">
        <v>292</v>
      </c>
      <c r="B293" t="s">
        <v>50</v>
      </c>
      <c r="C293" t="s">
        <v>47</v>
      </c>
      <c r="D293" t="s">
        <v>49</v>
      </c>
      <c r="E293">
        <v>0</v>
      </c>
      <c r="F293" t="s">
        <v>11</v>
      </c>
      <c r="G293" t="s">
        <v>12</v>
      </c>
      <c r="H293" t="s">
        <v>12</v>
      </c>
      <c r="I293" t="s">
        <v>12</v>
      </c>
      <c r="J293" t="s">
        <v>12</v>
      </c>
    </row>
    <row r="294" spans="1:10" x14ac:dyDescent="0.35">
      <c r="A294">
        <v>293</v>
      </c>
      <c r="B294" t="s">
        <v>50</v>
      </c>
      <c r="C294" t="s">
        <v>47</v>
      </c>
      <c r="D294" t="s">
        <v>46</v>
      </c>
      <c r="E294">
        <v>1</v>
      </c>
      <c r="F294" t="s">
        <v>11</v>
      </c>
      <c r="G294" t="s">
        <v>11</v>
      </c>
      <c r="H294" t="s">
        <v>11</v>
      </c>
      <c r="I294" t="s">
        <v>12</v>
      </c>
      <c r="J294" t="s">
        <v>12</v>
      </c>
    </row>
    <row r="295" spans="1:10" x14ac:dyDescent="0.35">
      <c r="A295">
        <v>294</v>
      </c>
      <c r="B295" t="s">
        <v>50</v>
      </c>
      <c r="C295" t="s">
        <v>45</v>
      </c>
      <c r="D295" t="s">
        <v>53</v>
      </c>
      <c r="E295">
        <v>0</v>
      </c>
      <c r="F295" t="s">
        <v>11</v>
      </c>
      <c r="G295" t="s">
        <v>12</v>
      </c>
      <c r="H295" t="s">
        <v>12</v>
      </c>
      <c r="I295" t="s">
        <v>12</v>
      </c>
      <c r="J295" t="s">
        <v>12</v>
      </c>
    </row>
    <row r="296" spans="1:10" x14ac:dyDescent="0.35">
      <c r="A296">
        <v>295</v>
      </c>
      <c r="B296" t="s">
        <v>50</v>
      </c>
      <c r="C296" t="s">
        <v>45</v>
      </c>
      <c r="D296" t="s">
        <v>49</v>
      </c>
      <c r="E296">
        <v>0</v>
      </c>
      <c r="F296" t="s">
        <v>11</v>
      </c>
      <c r="G296" t="s">
        <v>12</v>
      </c>
      <c r="H296" t="s">
        <v>12</v>
      </c>
      <c r="I296" t="s">
        <v>12</v>
      </c>
      <c r="J296" t="s">
        <v>12</v>
      </c>
    </row>
    <row r="297" spans="1:10" x14ac:dyDescent="0.35">
      <c r="A297">
        <v>296</v>
      </c>
      <c r="B297" t="s">
        <v>48</v>
      </c>
      <c r="C297" t="s">
        <v>47</v>
      </c>
      <c r="D297" t="s">
        <v>52</v>
      </c>
      <c r="E297">
        <v>0</v>
      </c>
      <c r="F297" t="s">
        <v>11</v>
      </c>
      <c r="G297" t="s">
        <v>12</v>
      </c>
      <c r="H297" t="s">
        <v>12</v>
      </c>
      <c r="I297" t="s">
        <v>12</v>
      </c>
      <c r="J297" t="s">
        <v>12</v>
      </c>
    </row>
    <row r="298" spans="1:10" x14ac:dyDescent="0.35">
      <c r="A298">
        <v>297</v>
      </c>
      <c r="B298" t="s">
        <v>50</v>
      </c>
      <c r="C298" t="s">
        <v>45</v>
      </c>
      <c r="D298" t="s">
        <v>46</v>
      </c>
      <c r="E298">
        <v>0</v>
      </c>
      <c r="F298" t="s">
        <v>11</v>
      </c>
      <c r="G298" t="s">
        <v>12</v>
      </c>
      <c r="H298" t="s">
        <v>12</v>
      </c>
      <c r="I298" t="s">
        <v>12</v>
      </c>
      <c r="J298" t="s">
        <v>12</v>
      </c>
    </row>
    <row r="299" spans="1:10" x14ac:dyDescent="0.35">
      <c r="A299">
        <v>298</v>
      </c>
      <c r="B299" t="s">
        <v>48</v>
      </c>
      <c r="C299" t="s">
        <v>45</v>
      </c>
      <c r="D299" t="s">
        <v>46</v>
      </c>
      <c r="E299">
        <v>0</v>
      </c>
      <c r="F299" t="s">
        <v>11</v>
      </c>
      <c r="G299" t="s">
        <v>12</v>
      </c>
      <c r="H299" t="s">
        <v>12</v>
      </c>
      <c r="I299" t="s">
        <v>12</v>
      </c>
      <c r="J299" t="s">
        <v>12</v>
      </c>
    </row>
    <row r="300" spans="1:10" x14ac:dyDescent="0.35">
      <c r="A300">
        <v>299</v>
      </c>
      <c r="B300" t="s">
        <v>50</v>
      </c>
      <c r="C300" t="s">
        <v>47</v>
      </c>
      <c r="D300" t="s">
        <v>53</v>
      </c>
      <c r="E300">
        <v>0</v>
      </c>
      <c r="F300" t="s">
        <v>11</v>
      </c>
      <c r="G300" t="s">
        <v>12</v>
      </c>
      <c r="H300" t="s">
        <v>12</v>
      </c>
      <c r="I300" t="s">
        <v>12</v>
      </c>
      <c r="J300" t="s">
        <v>12</v>
      </c>
    </row>
    <row r="301" spans="1:10" x14ac:dyDescent="0.35">
      <c r="A301">
        <v>300</v>
      </c>
      <c r="B301" t="s">
        <v>48</v>
      </c>
      <c r="C301" t="s">
        <v>47</v>
      </c>
      <c r="D301" t="s">
        <v>52</v>
      </c>
      <c r="E301">
        <v>0</v>
      </c>
      <c r="F301" t="s">
        <v>11</v>
      </c>
      <c r="G301" t="s">
        <v>12</v>
      </c>
      <c r="H301" t="s">
        <v>12</v>
      </c>
      <c r="I301" t="s">
        <v>12</v>
      </c>
      <c r="J301" t="s">
        <v>12</v>
      </c>
    </row>
    <row r="302" spans="1:10" x14ac:dyDescent="0.35">
      <c r="A302">
        <v>301</v>
      </c>
      <c r="B302" t="s">
        <v>48</v>
      </c>
      <c r="C302" t="s">
        <v>47</v>
      </c>
      <c r="D302" t="s">
        <v>46</v>
      </c>
      <c r="E302">
        <v>0</v>
      </c>
      <c r="F302" t="s">
        <v>11</v>
      </c>
      <c r="G302" t="s">
        <v>12</v>
      </c>
      <c r="H302" t="s">
        <v>11</v>
      </c>
      <c r="I302" t="s">
        <v>12</v>
      </c>
      <c r="J302" t="s">
        <v>12</v>
      </c>
    </row>
    <row r="303" spans="1:10" x14ac:dyDescent="0.35">
      <c r="A303">
        <v>302</v>
      </c>
      <c r="B303" t="s">
        <v>48</v>
      </c>
      <c r="C303" t="s">
        <v>45</v>
      </c>
      <c r="D303" t="s">
        <v>52</v>
      </c>
      <c r="E303">
        <v>0</v>
      </c>
      <c r="F303" t="s">
        <v>11</v>
      </c>
      <c r="G303" t="s">
        <v>11</v>
      </c>
      <c r="H303" t="s">
        <v>12</v>
      </c>
      <c r="I303" t="s">
        <v>12</v>
      </c>
      <c r="J303" t="s">
        <v>12</v>
      </c>
    </row>
    <row r="304" spans="1:10" x14ac:dyDescent="0.35">
      <c r="A304">
        <v>303</v>
      </c>
      <c r="B304" t="s">
        <v>50</v>
      </c>
      <c r="C304" t="s">
        <v>45</v>
      </c>
      <c r="D304" t="s">
        <v>49</v>
      </c>
      <c r="E304">
        <v>0</v>
      </c>
      <c r="F304" t="s">
        <v>11</v>
      </c>
      <c r="G304" t="s">
        <v>12</v>
      </c>
      <c r="H304" t="s">
        <v>12</v>
      </c>
      <c r="I304" t="s">
        <v>12</v>
      </c>
      <c r="J304" t="s">
        <v>12</v>
      </c>
    </row>
    <row r="305" spans="1:10" x14ac:dyDescent="0.35">
      <c r="A305">
        <v>304</v>
      </c>
      <c r="B305" t="s">
        <v>50</v>
      </c>
      <c r="C305" t="s">
        <v>47</v>
      </c>
      <c r="D305" t="s">
        <v>53</v>
      </c>
      <c r="E305">
        <v>0</v>
      </c>
      <c r="F305" t="s">
        <v>11</v>
      </c>
      <c r="G305" t="s">
        <v>12</v>
      </c>
      <c r="H305" t="s">
        <v>12</v>
      </c>
      <c r="I305" t="s">
        <v>11</v>
      </c>
      <c r="J305" t="s">
        <v>12</v>
      </c>
    </row>
    <row r="306" spans="1:10" x14ac:dyDescent="0.35">
      <c r="A306">
        <v>305</v>
      </c>
      <c r="B306" t="s">
        <v>48</v>
      </c>
      <c r="C306" t="s">
        <v>47</v>
      </c>
      <c r="D306" t="s">
        <v>46</v>
      </c>
      <c r="E306">
        <v>1</v>
      </c>
      <c r="F306" t="s">
        <v>11</v>
      </c>
      <c r="G306" t="s">
        <v>12</v>
      </c>
      <c r="H306" t="s">
        <v>11</v>
      </c>
      <c r="I306" t="s">
        <v>12</v>
      </c>
      <c r="J306" t="s">
        <v>12</v>
      </c>
    </row>
    <row r="307" spans="1:10" x14ac:dyDescent="0.35">
      <c r="A307">
        <v>306</v>
      </c>
      <c r="B307" t="s">
        <v>50</v>
      </c>
      <c r="C307" t="s">
        <v>47</v>
      </c>
      <c r="D307" t="s">
        <v>46</v>
      </c>
      <c r="E307">
        <v>1</v>
      </c>
      <c r="F307" t="s">
        <v>11</v>
      </c>
      <c r="G307" t="s">
        <v>12</v>
      </c>
      <c r="H307" t="s">
        <v>12</v>
      </c>
      <c r="I307" t="s">
        <v>12</v>
      </c>
      <c r="J307" t="s">
        <v>12</v>
      </c>
    </row>
    <row r="308" spans="1:10" x14ac:dyDescent="0.35">
      <c r="A308">
        <v>307</v>
      </c>
      <c r="B308" t="s">
        <v>44</v>
      </c>
      <c r="C308" t="s">
        <v>47</v>
      </c>
      <c r="D308" t="s">
        <v>52</v>
      </c>
      <c r="E308">
        <v>0</v>
      </c>
      <c r="F308" t="s">
        <v>11</v>
      </c>
      <c r="G308" t="s">
        <v>11</v>
      </c>
      <c r="H308" t="s">
        <v>11</v>
      </c>
      <c r="I308" t="s">
        <v>12</v>
      </c>
      <c r="J308" t="s">
        <v>12</v>
      </c>
    </row>
    <row r="309" spans="1:10" x14ac:dyDescent="0.35">
      <c r="A309">
        <v>308</v>
      </c>
      <c r="B309" t="s">
        <v>50</v>
      </c>
      <c r="C309" t="s">
        <v>45</v>
      </c>
      <c r="D309" t="s">
        <v>52</v>
      </c>
      <c r="E309">
        <v>1</v>
      </c>
      <c r="F309" t="s">
        <v>11</v>
      </c>
      <c r="G309" t="s">
        <v>12</v>
      </c>
      <c r="H309" t="s">
        <v>12</v>
      </c>
      <c r="I309" t="s">
        <v>12</v>
      </c>
      <c r="J309" t="s">
        <v>12</v>
      </c>
    </row>
    <row r="310" spans="1:10" x14ac:dyDescent="0.35">
      <c r="A310">
        <v>309</v>
      </c>
      <c r="B310" t="s">
        <v>50</v>
      </c>
      <c r="C310" t="s">
        <v>47</v>
      </c>
      <c r="D310" t="s">
        <v>46</v>
      </c>
      <c r="E310">
        <v>1</v>
      </c>
      <c r="F310" t="s">
        <v>11</v>
      </c>
      <c r="G310" t="s">
        <v>11</v>
      </c>
      <c r="H310" t="s">
        <v>11</v>
      </c>
      <c r="I310" t="s">
        <v>12</v>
      </c>
      <c r="J310" t="s">
        <v>12</v>
      </c>
    </row>
    <row r="311" spans="1:10" x14ac:dyDescent="0.35">
      <c r="A311">
        <v>310</v>
      </c>
      <c r="B311" t="s">
        <v>50</v>
      </c>
      <c r="C311" t="s">
        <v>47</v>
      </c>
      <c r="D311" t="s">
        <v>46</v>
      </c>
      <c r="E311">
        <v>1</v>
      </c>
      <c r="F311" t="s">
        <v>12</v>
      </c>
      <c r="G311" t="s">
        <v>12</v>
      </c>
      <c r="H311" t="s">
        <v>11</v>
      </c>
      <c r="I311" t="s">
        <v>11</v>
      </c>
      <c r="J311" t="s">
        <v>12</v>
      </c>
    </row>
    <row r="312" spans="1:10" x14ac:dyDescent="0.35">
      <c r="A312">
        <v>311</v>
      </c>
      <c r="B312" t="s">
        <v>48</v>
      </c>
      <c r="C312" t="s">
        <v>47</v>
      </c>
      <c r="D312" t="s">
        <v>46</v>
      </c>
      <c r="E312">
        <v>1</v>
      </c>
      <c r="F312" t="s">
        <v>11</v>
      </c>
      <c r="G312" t="s">
        <v>11</v>
      </c>
      <c r="H312" t="s">
        <v>11</v>
      </c>
      <c r="I312" t="s">
        <v>11</v>
      </c>
      <c r="J312" t="s">
        <v>12</v>
      </c>
    </row>
    <row r="313" spans="1:10" x14ac:dyDescent="0.35">
      <c r="A313">
        <v>312</v>
      </c>
      <c r="B313" t="s">
        <v>27</v>
      </c>
      <c r="C313" t="s">
        <v>51</v>
      </c>
      <c r="D313" t="s">
        <v>46</v>
      </c>
      <c r="E313">
        <v>0</v>
      </c>
      <c r="F313" t="s">
        <v>11</v>
      </c>
      <c r="G313" t="s">
        <v>12</v>
      </c>
      <c r="H313" t="s">
        <v>11</v>
      </c>
      <c r="I313" t="s">
        <v>12</v>
      </c>
      <c r="J313" t="s">
        <v>11</v>
      </c>
    </row>
    <row r="314" spans="1:10" x14ac:dyDescent="0.35">
      <c r="A314">
        <v>313</v>
      </c>
      <c r="B314" t="s">
        <v>44</v>
      </c>
      <c r="C314" t="s">
        <v>47</v>
      </c>
      <c r="D314" t="s">
        <v>46</v>
      </c>
      <c r="E314">
        <v>1</v>
      </c>
      <c r="F314" t="s">
        <v>11</v>
      </c>
      <c r="G314" t="s">
        <v>11</v>
      </c>
      <c r="H314" t="s">
        <v>11</v>
      </c>
      <c r="I314" t="s">
        <v>11</v>
      </c>
      <c r="J314" t="s">
        <v>12</v>
      </c>
    </row>
    <row r="315" spans="1:10" x14ac:dyDescent="0.35">
      <c r="A315">
        <v>314</v>
      </c>
      <c r="B315" t="s">
        <v>50</v>
      </c>
      <c r="C315" t="s">
        <v>45</v>
      </c>
      <c r="D315" t="s">
        <v>46</v>
      </c>
      <c r="E315">
        <v>1</v>
      </c>
      <c r="F315" t="s">
        <v>11</v>
      </c>
      <c r="G315" t="s">
        <v>12</v>
      </c>
      <c r="H315" t="s">
        <v>12</v>
      </c>
      <c r="I315" t="s">
        <v>11</v>
      </c>
      <c r="J315" t="s">
        <v>12</v>
      </c>
    </row>
    <row r="316" spans="1:10" x14ac:dyDescent="0.35">
      <c r="A316">
        <v>315</v>
      </c>
      <c r="B316" t="s">
        <v>48</v>
      </c>
      <c r="C316" t="s">
        <v>47</v>
      </c>
      <c r="D316" t="s">
        <v>49</v>
      </c>
      <c r="E316">
        <v>2</v>
      </c>
      <c r="F316" t="s">
        <v>11</v>
      </c>
      <c r="G316" t="s">
        <v>11</v>
      </c>
      <c r="H316" t="s">
        <v>11</v>
      </c>
      <c r="I316" t="s">
        <v>11</v>
      </c>
      <c r="J316" t="s">
        <v>12</v>
      </c>
    </row>
    <row r="317" spans="1:10" x14ac:dyDescent="0.35">
      <c r="A317">
        <v>316</v>
      </c>
      <c r="B317" t="s">
        <v>50</v>
      </c>
      <c r="C317" t="s">
        <v>47</v>
      </c>
      <c r="D317" t="s">
        <v>49</v>
      </c>
      <c r="E317">
        <v>1</v>
      </c>
      <c r="F317" t="s">
        <v>11</v>
      </c>
      <c r="G317" t="s">
        <v>11</v>
      </c>
      <c r="H317" t="s">
        <v>11</v>
      </c>
      <c r="I317" t="s">
        <v>12</v>
      </c>
      <c r="J317" t="s">
        <v>12</v>
      </c>
    </row>
    <row r="318" spans="1:10" x14ac:dyDescent="0.35">
      <c r="A318">
        <v>317</v>
      </c>
      <c r="B318" t="s">
        <v>44</v>
      </c>
      <c r="C318" t="s">
        <v>45</v>
      </c>
      <c r="D318" t="s">
        <v>46</v>
      </c>
      <c r="E318">
        <v>0</v>
      </c>
      <c r="F318" t="s">
        <v>11</v>
      </c>
      <c r="G318" t="s">
        <v>12</v>
      </c>
      <c r="H318" t="s">
        <v>12</v>
      </c>
      <c r="I318" t="s">
        <v>12</v>
      </c>
      <c r="J318" t="s">
        <v>12</v>
      </c>
    </row>
    <row r="319" spans="1:10" x14ac:dyDescent="0.35">
      <c r="A319">
        <v>318</v>
      </c>
      <c r="B319" t="s">
        <v>44</v>
      </c>
      <c r="C319" t="s">
        <v>47</v>
      </c>
      <c r="D319" t="s">
        <v>49</v>
      </c>
      <c r="E319">
        <v>0</v>
      </c>
      <c r="F319" t="s">
        <v>11</v>
      </c>
      <c r="G319" t="s">
        <v>12</v>
      </c>
      <c r="H319" t="s">
        <v>12</v>
      </c>
      <c r="I319" t="s">
        <v>12</v>
      </c>
      <c r="J319" t="s">
        <v>12</v>
      </c>
    </row>
    <row r="320" spans="1:10" x14ac:dyDescent="0.35">
      <c r="A320">
        <v>319</v>
      </c>
      <c r="B320" t="s">
        <v>44</v>
      </c>
      <c r="C320" t="s">
        <v>47</v>
      </c>
      <c r="D320" t="s">
        <v>49</v>
      </c>
      <c r="E320">
        <v>0</v>
      </c>
      <c r="F320" t="s">
        <v>11</v>
      </c>
      <c r="G320" t="s">
        <v>12</v>
      </c>
      <c r="H320" t="s">
        <v>12</v>
      </c>
      <c r="I320" t="s">
        <v>11</v>
      </c>
      <c r="J320" t="s">
        <v>12</v>
      </c>
    </row>
    <row r="321" spans="1:10" x14ac:dyDescent="0.35">
      <c r="A321">
        <v>320</v>
      </c>
      <c r="B321" t="s">
        <v>44</v>
      </c>
      <c r="C321" t="s">
        <v>47</v>
      </c>
      <c r="D321" t="s">
        <v>46</v>
      </c>
      <c r="E321">
        <v>0</v>
      </c>
      <c r="F321" t="s">
        <v>11</v>
      </c>
      <c r="G321" t="s">
        <v>12</v>
      </c>
      <c r="H321" t="s">
        <v>12</v>
      </c>
      <c r="I321" t="s">
        <v>12</v>
      </c>
      <c r="J321" t="s">
        <v>12</v>
      </c>
    </row>
    <row r="322" spans="1:10" x14ac:dyDescent="0.35">
      <c r="A322">
        <v>321</v>
      </c>
      <c r="B322" t="s">
        <v>44</v>
      </c>
      <c r="C322" t="s">
        <v>47</v>
      </c>
      <c r="D322" t="s">
        <v>46</v>
      </c>
      <c r="E322">
        <v>0</v>
      </c>
      <c r="F322" t="s">
        <v>11</v>
      </c>
      <c r="G322" t="s">
        <v>12</v>
      </c>
      <c r="H322" t="s">
        <v>12</v>
      </c>
      <c r="I322" t="s">
        <v>12</v>
      </c>
      <c r="J322" t="s">
        <v>12</v>
      </c>
    </row>
    <row r="323" spans="1:10" x14ac:dyDescent="0.35">
      <c r="A323">
        <v>322</v>
      </c>
      <c r="B323" t="s">
        <v>44</v>
      </c>
      <c r="C323" t="s">
        <v>47</v>
      </c>
      <c r="D323" t="s">
        <v>46</v>
      </c>
      <c r="E323">
        <v>0</v>
      </c>
      <c r="F323" t="s">
        <v>11</v>
      </c>
      <c r="G323" t="s">
        <v>12</v>
      </c>
      <c r="H323" t="s">
        <v>11</v>
      </c>
      <c r="I323" t="s">
        <v>12</v>
      </c>
      <c r="J323" t="s">
        <v>12</v>
      </c>
    </row>
    <row r="324" spans="1:10" x14ac:dyDescent="0.35">
      <c r="A324">
        <v>323</v>
      </c>
      <c r="B324" t="s">
        <v>44</v>
      </c>
      <c r="C324" t="s">
        <v>47</v>
      </c>
      <c r="D324" t="s">
        <v>49</v>
      </c>
      <c r="E324">
        <v>0</v>
      </c>
      <c r="F324" t="s">
        <v>11</v>
      </c>
      <c r="G324" t="s">
        <v>12</v>
      </c>
      <c r="H324" t="s">
        <v>12</v>
      </c>
      <c r="I324" t="s">
        <v>12</v>
      </c>
      <c r="J324" t="s">
        <v>12</v>
      </c>
    </row>
    <row r="325" spans="1:10" x14ac:dyDescent="0.35">
      <c r="A325">
        <v>324</v>
      </c>
      <c r="B325" t="s">
        <v>44</v>
      </c>
      <c r="C325" t="s">
        <v>47</v>
      </c>
      <c r="D325" t="s">
        <v>49</v>
      </c>
      <c r="E325">
        <v>0</v>
      </c>
      <c r="F325" t="s">
        <v>11</v>
      </c>
      <c r="G325" t="s">
        <v>12</v>
      </c>
      <c r="H325" t="s">
        <v>11</v>
      </c>
      <c r="I325" t="s">
        <v>11</v>
      </c>
      <c r="J325" t="s">
        <v>12</v>
      </c>
    </row>
    <row r="326" spans="1:10" x14ac:dyDescent="0.35">
      <c r="A326">
        <v>325</v>
      </c>
      <c r="B326" t="s">
        <v>48</v>
      </c>
      <c r="C326" t="s">
        <v>45</v>
      </c>
      <c r="D326" t="s">
        <v>49</v>
      </c>
      <c r="E326">
        <v>0</v>
      </c>
      <c r="F326" t="s">
        <v>11</v>
      </c>
      <c r="G326" t="s">
        <v>11</v>
      </c>
      <c r="H326" t="s">
        <v>11</v>
      </c>
      <c r="I326" t="s">
        <v>12</v>
      </c>
      <c r="J326" t="s">
        <v>12</v>
      </c>
    </row>
    <row r="327" spans="1:10" x14ac:dyDescent="0.35">
      <c r="A327">
        <v>326</v>
      </c>
      <c r="B327" t="s">
        <v>44</v>
      </c>
      <c r="C327" t="s">
        <v>47</v>
      </c>
      <c r="D327" t="s">
        <v>49</v>
      </c>
      <c r="E327">
        <v>0</v>
      </c>
      <c r="F327" t="s">
        <v>11</v>
      </c>
      <c r="G327" t="s">
        <v>11</v>
      </c>
      <c r="H327" t="s">
        <v>11</v>
      </c>
      <c r="I327" t="s">
        <v>12</v>
      </c>
      <c r="J327" t="s">
        <v>12</v>
      </c>
    </row>
    <row r="328" spans="1:10" x14ac:dyDescent="0.35">
      <c r="A328">
        <v>327</v>
      </c>
      <c r="B328" t="s">
        <v>50</v>
      </c>
      <c r="C328" t="s">
        <v>47</v>
      </c>
      <c r="D328" t="s">
        <v>52</v>
      </c>
      <c r="E328">
        <v>0</v>
      </c>
      <c r="F328" t="s">
        <v>11</v>
      </c>
      <c r="G328" t="s">
        <v>11</v>
      </c>
      <c r="H328" t="s">
        <v>11</v>
      </c>
      <c r="I328" t="s">
        <v>11</v>
      </c>
      <c r="J328" t="s">
        <v>12</v>
      </c>
    </row>
    <row r="329" spans="1:10" x14ac:dyDescent="0.35">
      <c r="A329">
        <v>328</v>
      </c>
      <c r="B329" t="s">
        <v>44</v>
      </c>
      <c r="C329" t="s">
        <v>54</v>
      </c>
      <c r="D329" t="s">
        <v>52</v>
      </c>
      <c r="E329">
        <v>0</v>
      </c>
      <c r="F329" t="s">
        <v>11</v>
      </c>
      <c r="G329" t="s">
        <v>12</v>
      </c>
      <c r="H329" t="s">
        <v>11</v>
      </c>
      <c r="I329" t="s">
        <v>12</v>
      </c>
      <c r="J329" t="s">
        <v>12</v>
      </c>
    </row>
    <row r="330" spans="1:10" x14ac:dyDescent="0.35">
      <c r="A330">
        <v>329</v>
      </c>
      <c r="B330" t="s">
        <v>44</v>
      </c>
      <c r="C330" t="s">
        <v>47</v>
      </c>
      <c r="D330" t="s">
        <v>49</v>
      </c>
      <c r="E330">
        <v>0</v>
      </c>
      <c r="F330" t="s">
        <v>11</v>
      </c>
      <c r="G330" t="s">
        <v>12</v>
      </c>
      <c r="H330" t="s">
        <v>12</v>
      </c>
      <c r="I330" t="s">
        <v>12</v>
      </c>
      <c r="J330" t="s">
        <v>12</v>
      </c>
    </row>
    <row r="331" spans="1:10" x14ac:dyDescent="0.35">
      <c r="A331">
        <v>330</v>
      </c>
      <c r="B331" t="s">
        <v>44</v>
      </c>
      <c r="C331" t="s">
        <v>45</v>
      </c>
      <c r="D331" t="s">
        <v>49</v>
      </c>
      <c r="E331">
        <v>0</v>
      </c>
      <c r="F331" t="s">
        <v>11</v>
      </c>
      <c r="G331" t="s">
        <v>12</v>
      </c>
      <c r="H331" t="s">
        <v>12</v>
      </c>
      <c r="I331" t="s">
        <v>11</v>
      </c>
      <c r="J331" t="s">
        <v>12</v>
      </c>
    </row>
    <row r="332" spans="1:10" x14ac:dyDescent="0.35">
      <c r="A332">
        <v>331</v>
      </c>
      <c r="B332" t="s">
        <v>44</v>
      </c>
      <c r="C332" t="s">
        <v>47</v>
      </c>
      <c r="D332" t="s">
        <v>53</v>
      </c>
      <c r="E332">
        <v>0</v>
      </c>
      <c r="F332" t="s">
        <v>11</v>
      </c>
      <c r="G332" t="s">
        <v>12</v>
      </c>
      <c r="H332" t="s">
        <v>11</v>
      </c>
      <c r="I332" t="s">
        <v>12</v>
      </c>
      <c r="J332" t="s">
        <v>12</v>
      </c>
    </row>
    <row r="333" spans="1:10" x14ac:dyDescent="0.35">
      <c r="A333">
        <v>332</v>
      </c>
      <c r="B333" t="s">
        <v>44</v>
      </c>
      <c r="C333" t="s">
        <v>47</v>
      </c>
      <c r="D333" t="s">
        <v>49</v>
      </c>
      <c r="E333">
        <v>0</v>
      </c>
      <c r="F333" t="s">
        <v>11</v>
      </c>
      <c r="G333" t="s">
        <v>12</v>
      </c>
      <c r="H333" t="s">
        <v>11</v>
      </c>
      <c r="I333" t="s">
        <v>12</v>
      </c>
      <c r="J333" t="s">
        <v>12</v>
      </c>
    </row>
    <row r="334" spans="1:10" x14ac:dyDescent="0.35">
      <c r="A334">
        <v>333</v>
      </c>
      <c r="B334" t="s">
        <v>48</v>
      </c>
      <c r="C334" t="s">
        <v>47</v>
      </c>
      <c r="D334" t="s">
        <v>46</v>
      </c>
      <c r="E334">
        <v>0</v>
      </c>
      <c r="F334" t="s">
        <v>11</v>
      </c>
      <c r="G334" t="s">
        <v>11</v>
      </c>
      <c r="H334" t="s">
        <v>11</v>
      </c>
      <c r="I334" t="s">
        <v>12</v>
      </c>
      <c r="J334" t="s">
        <v>12</v>
      </c>
    </row>
    <row r="335" spans="1:10" x14ac:dyDescent="0.35">
      <c r="A335">
        <v>334</v>
      </c>
      <c r="B335" t="s">
        <v>48</v>
      </c>
      <c r="C335" t="s">
        <v>47</v>
      </c>
      <c r="D335" t="s">
        <v>46</v>
      </c>
      <c r="E335">
        <v>0</v>
      </c>
      <c r="F335" t="s">
        <v>11</v>
      </c>
      <c r="G335" t="s">
        <v>11</v>
      </c>
      <c r="H335" t="s">
        <v>11</v>
      </c>
      <c r="I335" t="s">
        <v>11</v>
      </c>
      <c r="J335" t="s">
        <v>12</v>
      </c>
    </row>
    <row r="336" spans="1:10" x14ac:dyDescent="0.35">
      <c r="A336">
        <v>335</v>
      </c>
      <c r="B336" t="s">
        <v>44</v>
      </c>
      <c r="C336" t="s">
        <v>45</v>
      </c>
      <c r="D336" t="s">
        <v>53</v>
      </c>
      <c r="E336">
        <v>0</v>
      </c>
      <c r="F336" t="s">
        <v>11</v>
      </c>
      <c r="G336" t="s">
        <v>11</v>
      </c>
      <c r="H336" t="s">
        <v>11</v>
      </c>
      <c r="I336" t="s">
        <v>12</v>
      </c>
      <c r="J336" t="s">
        <v>12</v>
      </c>
    </row>
    <row r="337" spans="1:10" x14ac:dyDescent="0.35">
      <c r="A337">
        <v>336</v>
      </c>
      <c r="B337" t="s">
        <v>44</v>
      </c>
      <c r="C337" t="s">
        <v>47</v>
      </c>
      <c r="D337" t="s">
        <v>49</v>
      </c>
      <c r="E337">
        <v>0</v>
      </c>
      <c r="F337" t="s">
        <v>11</v>
      </c>
      <c r="G337" t="s">
        <v>11</v>
      </c>
      <c r="H337" t="s">
        <v>11</v>
      </c>
      <c r="I337" t="s">
        <v>12</v>
      </c>
      <c r="J337" t="s">
        <v>12</v>
      </c>
    </row>
    <row r="338" spans="1:10" x14ac:dyDescent="0.35">
      <c r="A338">
        <v>337</v>
      </c>
      <c r="B338" t="s">
        <v>48</v>
      </c>
      <c r="C338" t="s">
        <v>47</v>
      </c>
      <c r="D338" t="s">
        <v>49</v>
      </c>
      <c r="E338">
        <v>1</v>
      </c>
      <c r="F338" t="s">
        <v>11</v>
      </c>
      <c r="G338" t="s">
        <v>11</v>
      </c>
      <c r="H338" t="s">
        <v>12</v>
      </c>
      <c r="I338" t="s">
        <v>12</v>
      </c>
      <c r="J338" t="s">
        <v>12</v>
      </c>
    </row>
    <row r="339" spans="1:10" x14ac:dyDescent="0.35">
      <c r="A339">
        <v>338</v>
      </c>
      <c r="B339" t="s">
        <v>48</v>
      </c>
      <c r="C339" t="s">
        <v>47</v>
      </c>
      <c r="D339" t="s">
        <v>46</v>
      </c>
      <c r="E339">
        <v>0</v>
      </c>
      <c r="F339" t="s">
        <v>11</v>
      </c>
      <c r="G339" t="s">
        <v>12</v>
      </c>
      <c r="H339" t="s">
        <v>12</v>
      </c>
      <c r="I339" t="s">
        <v>12</v>
      </c>
      <c r="J339" t="s">
        <v>12</v>
      </c>
    </row>
    <row r="340" spans="1:10" x14ac:dyDescent="0.35">
      <c r="A340">
        <v>339</v>
      </c>
      <c r="B340" t="s">
        <v>48</v>
      </c>
      <c r="C340" t="s">
        <v>47</v>
      </c>
      <c r="D340" t="s">
        <v>53</v>
      </c>
      <c r="E340">
        <v>0</v>
      </c>
      <c r="F340" t="s">
        <v>11</v>
      </c>
      <c r="G340" t="s">
        <v>12</v>
      </c>
      <c r="H340" t="s">
        <v>11</v>
      </c>
      <c r="I340" t="s">
        <v>12</v>
      </c>
      <c r="J340" t="s">
        <v>12</v>
      </c>
    </row>
    <row r="341" spans="1:10" x14ac:dyDescent="0.35">
      <c r="A341">
        <v>340</v>
      </c>
      <c r="B341" t="s">
        <v>48</v>
      </c>
      <c r="C341" t="s">
        <v>47</v>
      </c>
      <c r="D341" t="s">
        <v>46</v>
      </c>
      <c r="E341">
        <v>0</v>
      </c>
      <c r="F341" t="s">
        <v>11</v>
      </c>
      <c r="G341" t="s">
        <v>12</v>
      </c>
      <c r="H341" t="s">
        <v>12</v>
      </c>
      <c r="I341" t="s">
        <v>12</v>
      </c>
      <c r="J341" t="s">
        <v>12</v>
      </c>
    </row>
    <row r="342" spans="1:10" x14ac:dyDescent="0.35">
      <c r="A342">
        <v>341</v>
      </c>
      <c r="B342" t="s">
        <v>48</v>
      </c>
      <c r="C342" t="s">
        <v>47</v>
      </c>
      <c r="D342" t="s">
        <v>49</v>
      </c>
      <c r="E342">
        <v>1</v>
      </c>
      <c r="F342" t="s">
        <v>11</v>
      </c>
      <c r="G342" t="s">
        <v>11</v>
      </c>
      <c r="H342" t="s">
        <v>12</v>
      </c>
      <c r="I342" t="s">
        <v>12</v>
      </c>
      <c r="J342" t="s">
        <v>12</v>
      </c>
    </row>
    <row r="343" spans="1:10" x14ac:dyDescent="0.35">
      <c r="A343">
        <v>342</v>
      </c>
      <c r="B343" t="s">
        <v>48</v>
      </c>
      <c r="C343" t="s">
        <v>47</v>
      </c>
      <c r="D343" t="s">
        <v>46</v>
      </c>
      <c r="E343">
        <v>1</v>
      </c>
      <c r="F343" t="s">
        <v>11</v>
      </c>
      <c r="G343" t="s">
        <v>12</v>
      </c>
      <c r="H343" t="s">
        <v>11</v>
      </c>
      <c r="I343" t="s">
        <v>12</v>
      </c>
      <c r="J343" t="s">
        <v>12</v>
      </c>
    </row>
    <row r="344" spans="1:10" x14ac:dyDescent="0.35">
      <c r="A344">
        <v>343</v>
      </c>
      <c r="B344" t="s">
        <v>48</v>
      </c>
      <c r="C344" t="s">
        <v>47</v>
      </c>
      <c r="D344" t="s">
        <v>46</v>
      </c>
      <c r="E344">
        <v>0</v>
      </c>
      <c r="F344" t="s">
        <v>11</v>
      </c>
      <c r="G344" t="s">
        <v>11</v>
      </c>
      <c r="H344" t="s">
        <v>11</v>
      </c>
      <c r="I344" t="s">
        <v>12</v>
      </c>
      <c r="J344" t="s">
        <v>12</v>
      </c>
    </row>
    <row r="345" spans="1:10" x14ac:dyDescent="0.35">
      <c r="A345">
        <v>344</v>
      </c>
      <c r="B345" t="s">
        <v>48</v>
      </c>
      <c r="C345" t="s">
        <v>47</v>
      </c>
      <c r="D345" t="s">
        <v>46</v>
      </c>
      <c r="E345">
        <v>1</v>
      </c>
      <c r="F345" t="s">
        <v>11</v>
      </c>
      <c r="G345" t="s">
        <v>12</v>
      </c>
      <c r="H345" t="s">
        <v>11</v>
      </c>
      <c r="I345" t="s">
        <v>12</v>
      </c>
      <c r="J345" t="s">
        <v>12</v>
      </c>
    </row>
    <row r="346" spans="1:10" x14ac:dyDescent="0.35">
      <c r="A346">
        <v>345</v>
      </c>
      <c r="B346" t="s">
        <v>44</v>
      </c>
      <c r="C346" t="s">
        <v>47</v>
      </c>
      <c r="D346" t="s">
        <v>49</v>
      </c>
      <c r="E346">
        <v>0</v>
      </c>
      <c r="F346" t="s">
        <v>11</v>
      </c>
      <c r="G346" t="s">
        <v>12</v>
      </c>
      <c r="H346" t="s">
        <v>11</v>
      </c>
      <c r="I346" t="s">
        <v>12</v>
      </c>
      <c r="J346" t="s">
        <v>12</v>
      </c>
    </row>
    <row r="347" spans="1:10" x14ac:dyDescent="0.35">
      <c r="A347">
        <v>346</v>
      </c>
      <c r="B347" t="s">
        <v>27</v>
      </c>
      <c r="C347" t="s">
        <v>47</v>
      </c>
      <c r="D347" t="s">
        <v>49</v>
      </c>
      <c r="E347">
        <v>0</v>
      </c>
      <c r="F347" t="s">
        <v>11</v>
      </c>
      <c r="G347" t="s">
        <v>11</v>
      </c>
      <c r="H347" t="s">
        <v>11</v>
      </c>
      <c r="I347" t="s">
        <v>12</v>
      </c>
      <c r="J347" t="s">
        <v>12</v>
      </c>
    </row>
    <row r="348" spans="1:10" x14ac:dyDescent="0.35">
      <c r="A348">
        <v>347</v>
      </c>
      <c r="B348" t="s">
        <v>44</v>
      </c>
      <c r="C348" t="s">
        <v>47</v>
      </c>
      <c r="D348" t="s">
        <v>49</v>
      </c>
      <c r="E348">
        <v>0</v>
      </c>
      <c r="F348" t="s">
        <v>11</v>
      </c>
      <c r="G348" t="s">
        <v>11</v>
      </c>
      <c r="H348" t="s">
        <v>11</v>
      </c>
      <c r="I348" t="s">
        <v>12</v>
      </c>
      <c r="J348" t="s">
        <v>12</v>
      </c>
    </row>
    <row r="349" spans="1:10" x14ac:dyDescent="0.35">
      <c r="A349">
        <v>348</v>
      </c>
      <c r="B349" t="s">
        <v>44</v>
      </c>
      <c r="C349" t="s">
        <v>47</v>
      </c>
      <c r="D349" t="s">
        <v>49</v>
      </c>
      <c r="E349">
        <v>0</v>
      </c>
      <c r="F349" t="s">
        <v>11</v>
      </c>
      <c r="G349" t="s">
        <v>12</v>
      </c>
      <c r="H349" t="s">
        <v>12</v>
      </c>
      <c r="I349" t="s">
        <v>12</v>
      </c>
      <c r="J349" t="s">
        <v>12</v>
      </c>
    </row>
    <row r="350" spans="1:10" x14ac:dyDescent="0.35">
      <c r="A350">
        <v>349</v>
      </c>
      <c r="B350" t="s">
        <v>50</v>
      </c>
      <c r="C350" t="s">
        <v>47</v>
      </c>
      <c r="D350" t="s">
        <v>49</v>
      </c>
      <c r="E350">
        <v>0</v>
      </c>
      <c r="F350" t="s">
        <v>11</v>
      </c>
      <c r="G350" t="s">
        <v>12</v>
      </c>
      <c r="H350" t="s">
        <v>12</v>
      </c>
      <c r="I350" t="s">
        <v>12</v>
      </c>
      <c r="J350" t="s">
        <v>12</v>
      </c>
    </row>
    <row r="351" spans="1:10" x14ac:dyDescent="0.35">
      <c r="A351">
        <v>350</v>
      </c>
      <c r="B351" t="s">
        <v>44</v>
      </c>
      <c r="C351" t="s">
        <v>45</v>
      </c>
      <c r="D351" t="s">
        <v>52</v>
      </c>
      <c r="E351">
        <v>1</v>
      </c>
      <c r="F351" t="s">
        <v>11</v>
      </c>
      <c r="G351" t="s">
        <v>12</v>
      </c>
      <c r="H351" t="s">
        <v>11</v>
      </c>
      <c r="I351" t="s">
        <v>11</v>
      </c>
      <c r="J351" t="s">
        <v>12</v>
      </c>
    </row>
    <row r="352" spans="1:10" x14ac:dyDescent="0.35">
      <c r="A352">
        <v>351</v>
      </c>
      <c r="B352" t="s">
        <v>48</v>
      </c>
      <c r="C352" t="s">
        <v>51</v>
      </c>
      <c r="D352" t="s">
        <v>46</v>
      </c>
      <c r="E352">
        <v>3</v>
      </c>
      <c r="F352" t="s">
        <v>11</v>
      </c>
      <c r="G352" t="s">
        <v>11</v>
      </c>
      <c r="H352" t="s">
        <v>11</v>
      </c>
      <c r="I352" t="s">
        <v>12</v>
      </c>
      <c r="J352" t="s">
        <v>12</v>
      </c>
    </row>
    <row r="353" spans="1:10" x14ac:dyDescent="0.35">
      <c r="A353">
        <v>352</v>
      </c>
      <c r="B353" t="s">
        <v>44</v>
      </c>
      <c r="C353" t="s">
        <v>45</v>
      </c>
      <c r="D353" t="s">
        <v>46</v>
      </c>
      <c r="E353">
        <v>0</v>
      </c>
      <c r="F353" t="s">
        <v>11</v>
      </c>
      <c r="G353" t="s">
        <v>12</v>
      </c>
      <c r="H353" t="s">
        <v>12</v>
      </c>
      <c r="I353" t="s">
        <v>12</v>
      </c>
      <c r="J353" t="s">
        <v>12</v>
      </c>
    </row>
    <row r="354" spans="1:10" x14ac:dyDescent="0.35">
      <c r="A354">
        <v>353</v>
      </c>
      <c r="B354" t="s">
        <v>44</v>
      </c>
      <c r="C354" t="s">
        <v>47</v>
      </c>
      <c r="D354" t="s">
        <v>52</v>
      </c>
      <c r="E354">
        <v>1</v>
      </c>
      <c r="F354" t="s">
        <v>11</v>
      </c>
      <c r="G354" t="s">
        <v>11</v>
      </c>
      <c r="H354" t="s">
        <v>11</v>
      </c>
      <c r="I354" t="s">
        <v>12</v>
      </c>
      <c r="J354" t="s">
        <v>11</v>
      </c>
    </row>
    <row r="355" spans="1:10" x14ac:dyDescent="0.35">
      <c r="A355">
        <v>354</v>
      </c>
      <c r="B355" t="s">
        <v>48</v>
      </c>
      <c r="C355" t="s">
        <v>51</v>
      </c>
      <c r="D355" t="s">
        <v>52</v>
      </c>
      <c r="E355">
        <v>1</v>
      </c>
      <c r="F355" t="s">
        <v>11</v>
      </c>
      <c r="G355" t="s">
        <v>12</v>
      </c>
      <c r="H355" t="s">
        <v>11</v>
      </c>
      <c r="I355" t="s">
        <v>12</v>
      </c>
      <c r="J355" t="s">
        <v>12</v>
      </c>
    </row>
    <row r="356" spans="1:10" x14ac:dyDescent="0.35">
      <c r="A356">
        <v>355</v>
      </c>
      <c r="B356" t="s">
        <v>48</v>
      </c>
      <c r="C356" t="s">
        <v>45</v>
      </c>
      <c r="D356" t="s">
        <v>46</v>
      </c>
      <c r="E356">
        <v>0</v>
      </c>
      <c r="F356" t="s">
        <v>11</v>
      </c>
      <c r="G356" t="s">
        <v>12</v>
      </c>
      <c r="H356" t="s">
        <v>12</v>
      </c>
      <c r="I356" t="s">
        <v>11</v>
      </c>
      <c r="J356" t="s">
        <v>12</v>
      </c>
    </row>
    <row r="357" spans="1:10" x14ac:dyDescent="0.35">
      <c r="A357">
        <v>356</v>
      </c>
      <c r="B357" t="s">
        <v>44</v>
      </c>
      <c r="C357" t="s">
        <v>47</v>
      </c>
      <c r="D357" t="s">
        <v>46</v>
      </c>
      <c r="E357">
        <v>0</v>
      </c>
      <c r="F357" t="s">
        <v>11</v>
      </c>
      <c r="G357" t="s">
        <v>12</v>
      </c>
      <c r="H357" t="s">
        <v>11</v>
      </c>
      <c r="I357" t="s">
        <v>12</v>
      </c>
      <c r="J357" t="s">
        <v>12</v>
      </c>
    </row>
    <row r="358" spans="1:10" x14ac:dyDescent="0.35">
      <c r="A358">
        <v>357</v>
      </c>
      <c r="B358" t="s">
        <v>27</v>
      </c>
      <c r="C358" t="s">
        <v>45</v>
      </c>
      <c r="D358" t="s">
        <v>46</v>
      </c>
      <c r="E358">
        <v>0</v>
      </c>
      <c r="F358" t="s">
        <v>11</v>
      </c>
      <c r="G358" t="s">
        <v>12</v>
      </c>
      <c r="H358" t="s">
        <v>12</v>
      </c>
      <c r="I358" t="s">
        <v>12</v>
      </c>
      <c r="J358" t="s">
        <v>12</v>
      </c>
    </row>
    <row r="359" spans="1:10" x14ac:dyDescent="0.35">
      <c r="A359">
        <v>358</v>
      </c>
      <c r="B359" t="s">
        <v>50</v>
      </c>
      <c r="C359" t="s">
        <v>45</v>
      </c>
      <c r="D359" t="s">
        <v>46</v>
      </c>
      <c r="E359">
        <v>0</v>
      </c>
      <c r="F359" t="s">
        <v>11</v>
      </c>
      <c r="G359" t="s">
        <v>11</v>
      </c>
      <c r="H359" t="s">
        <v>11</v>
      </c>
      <c r="I359" t="s">
        <v>12</v>
      </c>
      <c r="J359" t="s">
        <v>12</v>
      </c>
    </row>
    <row r="360" spans="1:10" x14ac:dyDescent="0.35">
      <c r="A360">
        <v>359</v>
      </c>
      <c r="B360" t="s">
        <v>48</v>
      </c>
      <c r="C360" t="s">
        <v>45</v>
      </c>
      <c r="D360" t="s">
        <v>52</v>
      </c>
      <c r="E360">
        <v>0</v>
      </c>
      <c r="F360" t="s">
        <v>11</v>
      </c>
      <c r="G360" t="s">
        <v>11</v>
      </c>
      <c r="H360" t="s">
        <v>11</v>
      </c>
      <c r="I360" t="s">
        <v>11</v>
      </c>
      <c r="J360" t="s">
        <v>12</v>
      </c>
    </row>
    <row r="361" spans="1:10" x14ac:dyDescent="0.35">
      <c r="A361">
        <v>360</v>
      </c>
      <c r="B361" t="s">
        <v>44</v>
      </c>
      <c r="C361" t="s">
        <v>45</v>
      </c>
      <c r="D361" t="s">
        <v>49</v>
      </c>
      <c r="E361">
        <v>0</v>
      </c>
      <c r="F361" t="s">
        <v>11</v>
      </c>
      <c r="G361" t="s">
        <v>11</v>
      </c>
      <c r="H361" t="s">
        <v>11</v>
      </c>
      <c r="I361" t="s">
        <v>12</v>
      </c>
      <c r="J361" t="s">
        <v>12</v>
      </c>
    </row>
    <row r="362" spans="1:10" x14ac:dyDescent="0.35">
      <c r="A362">
        <v>361</v>
      </c>
      <c r="B362" t="s">
        <v>44</v>
      </c>
      <c r="C362" t="s">
        <v>51</v>
      </c>
      <c r="D362" t="s">
        <v>46</v>
      </c>
      <c r="E362">
        <v>0</v>
      </c>
      <c r="F362" t="s">
        <v>11</v>
      </c>
      <c r="G362" t="s">
        <v>11</v>
      </c>
      <c r="H362" t="s">
        <v>11</v>
      </c>
      <c r="I362" t="s">
        <v>12</v>
      </c>
      <c r="J362" t="s">
        <v>12</v>
      </c>
    </row>
    <row r="363" spans="1:10" x14ac:dyDescent="0.35">
      <c r="A363">
        <v>362</v>
      </c>
      <c r="B363" t="s">
        <v>27</v>
      </c>
      <c r="C363" t="s">
        <v>45</v>
      </c>
      <c r="D363" t="s">
        <v>46</v>
      </c>
      <c r="E363">
        <v>1</v>
      </c>
      <c r="F363" t="s">
        <v>11</v>
      </c>
      <c r="G363" t="s">
        <v>11</v>
      </c>
      <c r="H363" t="s">
        <v>11</v>
      </c>
      <c r="I363" t="s">
        <v>11</v>
      </c>
      <c r="J363" t="s">
        <v>11</v>
      </c>
    </row>
    <row r="364" spans="1:10" x14ac:dyDescent="0.35">
      <c r="A364">
        <v>363</v>
      </c>
      <c r="B364" t="s">
        <v>27</v>
      </c>
      <c r="C364" t="s">
        <v>45</v>
      </c>
      <c r="D364" t="s">
        <v>46</v>
      </c>
      <c r="E364">
        <v>0</v>
      </c>
      <c r="F364" t="s">
        <v>11</v>
      </c>
      <c r="G364" t="s">
        <v>12</v>
      </c>
      <c r="H364" t="s">
        <v>11</v>
      </c>
      <c r="I364" t="s">
        <v>12</v>
      </c>
      <c r="J364" t="s">
        <v>12</v>
      </c>
    </row>
    <row r="365" spans="1:10" x14ac:dyDescent="0.35">
      <c r="A365">
        <v>364</v>
      </c>
      <c r="B365" t="s">
        <v>44</v>
      </c>
      <c r="C365" t="s">
        <v>47</v>
      </c>
      <c r="D365" t="s">
        <v>46</v>
      </c>
      <c r="E365">
        <v>0</v>
      </c>
      <c r="F365" t="s">
        <v>11</v>
      </c>
      <c r="G365" t="s">
        <v>12</v>
      </c>
      <c r="H365" t="s">
        <v>12</v>
      </c>
      <c r="I365" t="s">
        <v>12</v>
      </c>
      <c r="J365" t="s">
        <v>12</v>
      </c>
    </row>
    <row r="366" spans="1:10" x14ac:dyDescent="0.35">
      <c r="A366">
        <v>365</v>
      </c>
      <c r="B366" t="s">
        <v>44</v>
      </c>
      <c r="C366" t="s">
        <v>45</v>
      </c>
      <c r="D366" t="s">
        <v>46</v>
      </c>
      <c r="E366">
        <v>0</v>
      </c>
      <c r="F366" t="s">
        <v>11</v>
      </c>
      <c r="G366" t="s">
        <v>11</v>
      </c>
      <c r="H366" t="s">
        <v>11</v>
      </c>
      <c r="I366" t="s">
        <v>11</v>
      </c>
      <c r="J366" t="s">
        <v>12</v>
      </c>
    </row>
    <row r="367" spans="1:10" x14ac:dyDescent="0.35">
      <c r="A367">
        <v>366</v>
      </c>
      <c r="B367" t="s">
        <v>44</v>
      </c>
      <c r="C367" t="s">
        <v>45</v>
      </c>
      <c r="D367" t="s">
        <v>46</v>
      </c>
      <c r="E367">
        <v>0</v>
      </c>
      <c r="F367" t="s">
        <v>11</v>
      </c>
      <c r="G367" t="s">
        <v>12</v>
      </c>
      <c r="H367" t="s">
        <v>12</v>
      </c>
      <c r="I367" t="s">
        <v>12</v>
      </c>
      <c r="J367" t="s">
        <v>12</v>
      </c>
    </row>
    <row r="368" spans="1:10" x14ac:dyDescent="0.35">
      <c r="A368">
        <v>367</v>
      </c>
      <c r="B368" t="s">
        <v>27</v>
      </c>
      <c r="C368" t="s">
        <v>45</v>
      </c>
      <c r="D368" t="s">
        <v>49</v>
      </c>
      <c r="E368">
        <v>0</v>
      </c>
      <c r="F368" t="s">
        <v>11</v>
      </c>
      <c r="G368" t="s">
        <v>11</v>
      </c>
      <c r="H368" t="s">
        <v>12</v>
      </c>
      <c r="I368" t="s">
        <v>12</v>
      </c>
      <c r="J368" t="s">
        <v>12</v>
      </c>
    </row>
    <row r="369" spans="1:10" x14ac:dyDescent="0.35">
      <c r="A369">
        <v>368</v>
      </c>
      <c r="B369" t="s">
        <v>50</v>
      </c>
      <c r="C369" t="s">
        <v>51</v>
      </c>
      <c r="D369" t="s">
        <v>52</v>
      </c>
      <c r="E369">
        <v>1</v>
      </c>
      <c r="F369" t="s">
        <v>11</v>
      </c>
      <c r="G369" t="s">
        <v>12</v>
      </c>
      <c r="H369" t="s">
        <v>12</v>
      </c>
      <c r="I369" t="s">
        <v>12</v>
      </c>
      <c r="J369" t="s">
        <v>12</v>
      </c>
    </row>
    <row r="370" spans="1:10" x14ac:dyDescent="0.35">
      <c r="A370">
        <v>369</v>
      </c>
      <c r="B370" t="s">
        <v>44</v>
      </c>
      <c r="C370" t="s">
        <v>45</v>
      </c>
      <c r="D370" t="s">
        <v>52</v>
      </c>
      <c r="E370">
        <v>0</v>
      </c>
      <c r="F370" t="s">
        <v>11</v>
      </c>
      <c r="G370" t="s">
        <v>12</v>
      </c>
      <c r="H370" t="s">
        <v>12</v>
      </c>
      <c r="I370" t="s">
        <v>12</v>
      </c>
      <c r="J370" t="s">
        <v>12</v>
      </c>
    </row>
    <row r="371" spans="1:10" x14ac:dyDescent="0.35">
      <c r="A371">
        <v>370</v>
      </c>
      <c r="B371" t="s">
        <v>27</v>
      </c>
      <c r="C371" t="s">
        <v>51</v>
      </c>
      <c r="D371" t="s">
        <v>46</v>
      </c>
      <c r="E371">
        <v>0</v>
      </c>
      <c r="F371" t="s">
        <v>11</v>
      </c>
      <c r="G371" t="s">
        <v>12</v>
      </c>
      <c r="H371" t="s">
        <v>12</v>
      </c>
      <c r="I371" t="s">
        <v>11</v>
      </c>
      <c r="J371" t="s">
        <v>12</v>
      </c>
    </row>
    <row r="372" spans="1:10" x14ac:dyDescent="0.35">
      <c r="A372">
        <v>371</v>
      </c>
      <c r="B372" t="s">
        <v>48</v>
      </c>
      <c r="C372" t="s">
        <v>45</v>
      </c>
      <c r="D372" t="s">
        <v>46</v>
      </c>
      <c r="E372">
        <v>2</v>
      </c>
      <c r="F372" t="s">
        <v>11</v>
      </c>
      <c r="G372" t="s">
        <v>11</v>
      </c>
      <c r="H372" t="s">
        <v>11</v>
      </c>
      <c r="I372" t="s">
        <v>12</v>
      </c>
      <c r="J372" t="s">
        <v>12</v>
      </c>
    </row>
    <row r="373" spans="1:10" x14ac:dyDescent="0.35">
      <c r="A373">
        <v>372</v>
      </c>
      <c r="B373" t="s">
        <v>27</v>
      </c>
      <c r="C373" t="s">
        <v>51</v>
      </c>
      <c r="D373" t="s">
        <v>52</v>
      </c>
      <c r="E373">
        <v>0</v>
      </c>
      <c r="F373" t="s">
        <v>11</v>
      </c>
      <c r="G373" t="s">
        <v>12</v>
      </c>
      <c r="H373" t="s">
        <v>12</v>
      </c>
      <c r="I373" t="s">
        <v>12</v>
      </c>
      <c r="J373" t="s">
        <v>11</v>
      </c>
    </row>
    <row r="374" spans="1:10" x14ac:dyDescent="0.35">
      <c r="A374">
        <v>373</v>
      </c>
      <c r="B374" t="s">
        <v>48</v>
      </c>
      <c r="C374" t="s">
        <v>47</v>
      </c>
      <c r="D374" t="s">
        <v>49</v>
      </c>
      <c r="E374">
        <v>0</v>
      </c>
      <c r="F374" t="s">
        <v>11</v>
      </c>
      <c r="G374" t="s">
        <v>11</v>
      </c>
      <c r="H374" t="s">
        <v>11</v>
      </c>
      <c r="I374" t="s">
        <v>12</v>
      </c>
      <c r="J374" t="s">
        <v>12</v>
      </c>
    </row>
    <row r="375" spans="1:10" x14ac:dyDescent="0.35">
      <c r="A375">
        <v>374</v>
      </c>
      <c r="B375" t="s">
        <v>44</v>
      </c>
      <c r="C375" t="s">
        <v>47</v>
      </c>
      <c r="D375" t="s">
        <v>52</v>
      </c>
      <c r="E375">
        <v>0</v>
      </c>
      <c r="F375" t="s">
        <v>11</v>
      </c>
      <c r="G375" t="s">
        <v>11</v>
      </c>
      <c r="H375" t="s">
        <v>11</v>
      </c>
      <c r="I375" t="s">
        <v>12</v>
      </c>
      <c r="J375" t="s">
        <v>12</v>
      </c>
    </row>
    <row r="376" spans="1:10" x14ac:dyDescent="0.35">
      <c r="A376">
        <v>375</v>
      </c>
      <c r="B376" t="s">
        <v>50</v>
      </c>
      <c r="C376" t="s">
        <v>45</v>
      </c>
      <c r="D376" t="s">
        <v>49</v>
      </c>
      <c r="E376">
        <v>0</v>
      </c>
      <c r="F376" t="s">
        <v>11</v>
      </c>
      <c r="G376" t="s">
        <v>11</v>
      </c>
      <c r="H376" t="s">
        <v>11</v>
      </c>
      <c r="I376" t="s">
        <v>12</v>
      </c>
      <c r="J376" t="s">
        <v>12</v>
      </c>
    </row>
    <row r="377" spans="1:10" x14ac:dyDescent="0.35">
      <c r="A377">
        <v>376</v>
      </c>
      <c r="B377" t="s">
        <v>48</v>
      </c>
      <c r="C377" t="s">
        <v>54</v>
      </c>
      <c r="D377" t="s">
        <v>49</v>
      </c>
      <c r="E377">
        <v>0</v>
      </c>
      <c r="F377" t="s">
        <v>11</v>
      </c>
      <c r="G377" t="s">
        <v>11</v>
      </c>
      <c r="H377" t="s">
        <v>11</v>
      </c>
      <c r="I377" t="s">
        <v>12</v>
      </c>
      <c r="J377" t="s">
        <v>12</v>
      </c>
    </row>
    <row r="378" spans="1:10" x14ac:dyDescent="0.35">
      <c r="A378">
        <v>377</v>
      </c>
      <c r="B378" t="s">
        <v>44</v>
      </c>
      <c r="C378" t="s">
        <v>45</v>
      </c>
      <c r="D378" t="s">
        <v>49</v>
      </c>
      <c r="E378">
        <v>2</v>
      </c>
      <c r="F378" t="s">
        <v>11</v>
      </c>
      <c r="G378" t="s">
        <v>12</v>
      </c>
      <c r="H378" t="s">
        <v>12</v>
      </c>
      <c r="I378" t="s">
        <v>11</v>
      </c>
      <c r="J378" t="s">
        <v>12</v>
      </c>
    </row>
    <row r="379" spans="1:10" x14ac:dyDescent="0.35">
      <c r="A379">
        <v>378</v>
      </c>
      <c r="B379" t="s">
        <v>44</v>
      </c>
      <c r="C379" t="s">
        <v>47</v>
      </c>
      <c r="D379" t="s">
        <v>46</v>
      </c>
      <c r="E379">
        <v>0</v>
      </c>
      <c r="F379" t="s">
        <v>11</v>
      </c>
      <c r="G379" t="s">
        <v>11</v>
      </c>
      <c r="H379" t="s">
        <v>12</v>
      </c>
      <c r="I379" t="s">
        <v>12</v>
      </c>
      <c r="J379" t="s">
        <v>12</v>
      </c>
    </row>
    <row r="380" spans="1:10" x14ac:dyDescent="0.35">
      <c r="A380">
        <v>379</v>
      </c>
      <c r="B380" t="s">
        <v>48</v>
      </c>
      <c r="C380" t="s">
        <v>47</v>
      </c>
      <c r="D380" t="s">
        <v>46</v>
      </c>
      <c r="E380">
        <v>0</v>
      </c>
      <c r="F380" t="s">
        <v>11</v>
      </c>
      <c r="G380" t="s">
        <v>11</v>
      </c>
      <c r="H380" t="s">
        <v>12</v>
      </c>
      <c r="I380" t="s">
        <v>12</v>
      </c>
      <c r="J380" t="s">
        <v>12</v>
      </c>
    </row>
    <row r="381" spans="1:10" x14ac:dyDescent="0.35">
      <c r="A381">
        <v>380</v>
      </c>
      <c r="B381" t="s">
        <v>50</v>
      </c>
      <c r="C381" t="s">
        <v>47</v>
      </c>
      <c r="D381" t="s">
        <v>46</v>
      </c>
      <c r="E381">
        <v>0</v>
      </c>
      <c r="F381" t="s">
        <v>11</v>
      </c>
      <c r="G381" t="s">
        <v>12</v>
      </c>
      <c r="H381" t="s">
        <v>12</v>
      </c>
      <c r="I381" t="s">
        <v>11</v>
      </c>
      <c r="J381" t="s">
        <v>12</v>
      </c>
    </row>
    <row r="382" spans="1:10" x14ac:dyDescent="0.35">
      <c r="A382">
        <v>381</v>
      </c>
      <c r="B382" t="s">
        <v>48</v>
      </c>
      <c r="C382" t="s">
        <v>47</v>
      </c>
      <c r="D382" t="s">
        <v>46</v>
      </c>
      <c r="E382">
        <v>0</v>
      </c>
      <c r="F382" t="s">
        <v>11</v>
      </c>
      <c r="G382" t="s">
        <v>11</v>
      </c>
      <c r="H382" t="s">
        <v>12</v>
      </c>
      <c r="I382" t="s">
        <v>11</v>
      </c>
      <c r="J382" t="s">
        <v>12</v>
      </c>
    </row>
    <row r="383" spans="1:10" x14ac:dyDescent="0.35">
      <c r="A383">
        <v>382</v>
      </c>
      <c r="B383" t="s">
        <v>27</v>
      </c>
      <c r="C383" t="s">
        <v>45</v>
      </c>
      <c r="D383" t="s">
        <v>52</v>
      </c>
      <c r="E383">
        <v>0</v>
      </c>
      <c r="F383" t="s">
        <v>11</v>
      </c>
      <c r="G383" t="s">
        <v>11</v>
      </c>
      <c r="H383" t="s">
        <v>11</v>
      </c>
      <c r="I383" t="s">
        <v>11</v>
      </c>
      <c r="J383" t="s">
        <v>12</v>
      </c>
    </row>
    <row r="384" spans="1:10" x14ac:dyDescent="0.35">
      <c r="A384">
        <v>383</v>
      </c>
      <c r="B384" t="s">
        <v>48</v>
      </c>
      <c r="C384" t="s">
        <v>45</v>
      </c>
      <c r="D384" t="s">
        <v>46</v>
      </c>
      <c r="E384">
        <v>0</v>
      </c>
      <c r="F384" t="s">
        <v>11</v>
      </c>
      <c r="G384" t="s">
        <v>11</v>
      </c>
      <c r="H384" t="s">
        <v>11</v>
      </c>
      <c r="I384" t="s">
        <v>12</v>
      </c>
      <c r="J384" t="s">
        <v>12</v>
      </c>
    </row>
    <row r="385" spans="1:10" x14ac:dyDescent="0.35">
      <c r="A385">
        <v>384</v>
      </c>
      <c r="B385" t="s">
        <v>27</v>
      </c>
      <c r="C385" t="s">
        <v>45</v>
      </c>
      <c r="D385" t="s">
        <v>52</v>
      </c>
      <c r="E385">
        <v>1</v>
      </c>
      <c r="F385" t="s">
        <v>11</v>
      </c>
      <c r="G385" t="s">
        <v>11</v>
      </c>
      <c r="H385" t="s">
        <v>11</v>
      </c>
      <c r="I385" t="s">
        <v>12</v>
      </c>
      <c r="J385" t="s">
        <v>12</v>
      </c>
    </row>
    <row r="386" spans="1:10" x14ac:dyDescent="0.35">
      <c r="A386">
        <v>385</v>
      </c>
      <c r="B386" t="s">
        <v>48</v>
      </c>
      <c r="C386" t="s">
        <v>45</v>
      </c>
      <c r="D386" t="s">
        <v>52</v>
      </c>
      <c r="E386">
        <v>1</v>
      </c>
      <c r="F386" t="s">
        <v>11</v>
      </c>
      <c r="G386" t="s">
        <v>11</v>
      </c>
      <c r="H386" t="s">
        <v>12</v>
      </c>
      <c r="I386" t="s">
        <v>12</v>
      </c>
      <c r="J386" t="s">
        <v>12</v>
      </c>
    </row>
    <row r="387" spans="1:10" x14ac:dyDescent="0.35">
      <c r="A387">
        <v>386</v>
      </c>
      <c r="B387" t="s">
        <v>27</v>
      </c>
      <c r="C387" t="s">
        <v>45</v>
      </c>
      <c r="D387" t="s">
        <v>49</v>
      </c>
      <c r="E387">
        <v>0</v>
      </c>
      <c r="F387" t="s">
        <v>11</v>
      </c>
      <c r="G387" t="s">
        <v>11</v>
      </c>
      <c r="H387" t="s">
        <v>12</v>
      </c>
      <c r="I387" t="s">
        <v>12</v>
      </c>
      <c r="J387" t="s">
        <v>12</v>
      </c>
    </row>
    <row r="388" spans="1:10" x14ac:dyDescent="0.35">
      <c r="A388">
        <v>387</v>
      </c>
      <c r="B388" t="s">
        <v>50</v>
      </c>
      <c r="C388" t="s">
        <v>51</v>
      </c>
      <c r="D388" t="s">
        <v>52</v>
      </c>
      <c r="E388">
        <v>0</v>
      </c>
      <c r="F388" t="s">
        <v>11</v>
      </c>
      <c r="G388" t="s">
        <v>12</v>
      </c>
      <c r="H388" t="s">
        <v>12</v>
      </c>
      <c r="I388" t="s">
        <v>12</v>
      </c>
      <c r="J388" t="s">
        <v>12</v>
      </c>
    </row>
    <row r="389" spans="1:10" x14ac:dyDescent="0.35">
      <c r="A389">
        <v>388</v>
      </c>
      <c r="B389" t="s">
        <v>44</v>
      </c>
      <c r="C389" t="s">
        <v>47</v>
      </c>
      <c r="D389" t="s">
        <v>49</v>
      </c>
      <c r="E389">
        <v>1</v>
      </c>
      <c r="F389" t="s">
        <v>11</v>
      </c>
      <c r="G389" t="s">
        <v>11</v>
      </c>
      <c r="H389" t="s">
        <v>11</v>
      </c>
      <c r="I389" t="s">
        <v>11</v>
      </c>
      <c r="J389" t="s">
        <v>12</v>
      </c>
    </row>
    <row r="390" spans="1:10" x14ac:dyDescent="0.35">
      <c r="A390">
        <v>389</v>
      </c>
      <c r="B390" t="s">
        <v>44</v>
      </c>
      <c r="C390" t="s">
        <v>47</v>
      </c>
      <c r="D390" t="s">
        <v>46</v>
      </c>
      <c r="E390">
        <v>0</v>
      </c>
      <c r="F390" t="s">
        <v>11</v>
      </c>
      <c r="G390" t="s">
        <v>12</v>
      </c>
      <c r="H390" t="s">
        <v>12</v>
      </c>
      <c r="I390" t="s">
        <v>12</v>
      </c>
      <c r="J390" t="s">
        <v>12</v>
      </c>
    </row>
    <row r="391" spans="1:10" x14ac:dyDescent="0.35">
      <c r="A391">
        <v>390</v>
      </c>
      <c r="B391" t="s">
        <v>44</v>
      </c>
      <c r="C391" t="s">
        <v>45</v>
      </c>
      <c r="D391" t="s">
        <v>46</v>
      </c>
      <c r="E391">
        <v>1</v>
      </c>
      <c r="F391" t="s">
        <v>11</v>
      </c>
      <c r="G391" t="s">
        <v>11</v>
      </c>
      <c r="H391" t="s">
        <v>11</v>
      </c>
      <c r="I391" t="s">
        <v>12</v>
      </c>
      <c r="J391" t="s">
        <v>12</v>
      </c>
    </row>
    <row r="392" spans="1:10" x14ac:dyDescent="0.35">
      <c r="A392">
        <v>391</v>
      </c>
      <c r="B392" t="s">
        <v>44</v>
      </c>
      <c r="C392" t="s">
        <v>47</v>
      </c>
      <c r="D392" t="s">
        <v>46</v>
      </c>
      <c r="E392">
        <v>2</v>
      </c>
      <c r="F392" t="s">
        <v>11</v>
      </c>
      <c r="G392" t="s">
        <v>12</v>
      </c>
      <c r="H392" t="s">
        <v>12</v>
      </c>
      <c r="I392" t="s">
        <v>12</v>
      </c>
      <c r="J392" t="s">
        <v>12</v>
      </c>
    </row>
    <row r="393" spans="1:10" x14ac:dyDescent="0.35">
      <c r="A393">
        <v>392</v>
      </c>
      <c r="B393" t="s">
        <v>44</v>
      </c>
      <c r="C393" t="s">
        <v>45</v>
      </c>
      <c r="D393" t="s">
        <v>52</v>
      </c>
      <c r="E393">
        <v>0</v>
      </c>
      <c r="F393" t="s">
        <v>11</v>
      </c>
      <c r="G393" t="s">
        <v>11</v>
      </c>
      <c r="H393" t="s">
        <v>11</v>
      </c>
      <c r="I393" t="s">
        <v>11</v>
      </c>
      <c r="J393" t="s">
        <v>12</v>
      </c>
    </row>
    <row r="394" spans="1:10" x14ac:dyDescent="0.35">
      <c r="A394">
        <v>393</v>
      </c>
      <c r="B394" t="s">
        <v>44</v>
      </c>
      <c r="C394" t="s">
        <v>47</v>
      </c>
      <c r="D394" t="s">
        <v>52</v>
      </c>
      <c r="E394">
        <v>3</v>
      </c>
      <c r="F394" t="s">
        <v>11</v>
      </c>
      <c r="G394" t="s">
        <v>11</v>
      </c>
      <c r="H394" t="s">
        <v>11</v>
      </c>
      <c r="I394" t="s">
        <v>11</v>
      </c>
      <c r="J394" t="s">
        <v>12</v>
      </c>
    </row>
    <row r="395" spans="1:10" x14ac:dyDescent="0.35">
      <c r="A395">
        <v>394</v>
      </c>
      <c r="B395" t="s">
        <v>44</v>
      </c>
      <c r="C395" t="s">
        <v>51</v>
      </c>
      <c r="D395" t="s">
        <v>52</v>
      </c>
      <c r="E395">
        <v>0</v>
      </c>
      <c r="F395" t="s">
        <v>11</v>
      </c>
      <c r="G395" t="s">
        <v>11</v>
      </c>
      <c r="H395" t="s">
        <v>11</v>
      </c>
      <c r="I395" t="s">
        <v>11</v>
      </c>
      <c r="J395" t="s">
        <v>12</v>
      </c>
    </row>
    <row r="396" spans="1:10" x14ac:dyDescent="0.35">
      <c r="A396">
        <v>395</v>
      </c>
      <c r="B396" t="s">
        <v>44</v>
      </c>
      <c r="C396" t="s">
        <v>47</v>
      </c>
      <c r="D396" t="s">
        <v>52</v>
      </c>
      <c r="E396">
        <v>0</v>
      </c>
      <c r="F396" t="s">
        <v>11</v>
      </c>
      <c r="G396" t="s">
        <v>11</v>
      </c>
      <c r="H396" t="s">
        <v>11</v>
      </c>
      <c r="I396" t="s">
        <v>12</v>
      </c>
      <c r="J396" t="s">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92BE-1E49-4EEC-AB0A-65E5CD97B31A}">
  <dimension ref="A1:C3"/>
  <sheetViews>
    <sheetView workbookViewId="0">
      <selection activeCell="B2" sqref="B2"/>
    </sheetView>
  </sheetViews>
  <sheetFormatPr defaultRowHeight="14.5" x14ac:dyDescent="0.35"/>
  <cols>
    <col min="1" max="1" width="10.6328125" bestFit="1" customWidth="1"/>
    <col min="2" max="2" width="13.08984375" bestFit="1" customWidth="1"/>
    <col min="3" max="3" width="17.26953125" bestFit="1" customWidth="1"/>
  </cols>
  <sheetData>
    <row r="1" spans="1:3" x14ac:dyDescent="0.35">
      <c r="A1" t="s">
        <v>19</v>
      </c>
      <c r="B1" t="s">
        <v>29</v>
      </c>
      <c r="C1" t="s">
        <v>30</v>
      </c>
    </row>
    <row r="2" spans="1:3" x14ac:dyDescent="0.35">
      <c r="A2">
        <v>1</v>
      </c>
      <c r="B2" t="s">
        <v>31</v>
      </c>
      <c r="C2" t="s">
        <v>32</v>
      </c>
    </row>
    <row r="3" spans="1:3" x14ac:dyDescent="0.35">
      <c r="A3">
        <v>2</v>
      </c>
      <c r="B3" t="s">
        <v>33</v>
      </c>
      <c r="C3" t="s">
        <v>34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D2E6-2FAB-4537-B423-AB8932FDBA2A}">
  <dimension ref="B3:B9"/>
  <sheetViews>
    <sheetView workbookViewId="0">
      <selection activeCell="B9" sqref="B9"/>
    </sheetView>
  </sheetViews>
  <sheetFormatPr defaultRowHeight="14.5" x14ac:dyDescent="0.35"/>
  <sheetData>
    <row r="3" spans="2:2" x14ac:dyDescent="0.35">
      <c r="B3" t="s">
        <v>70</v>
      </c>
    </row>
    <row r="4" spans="2:2" x14ac:dyDescent="0.35">
      <c r="B4" t="s">
        <v>71</v>
      </c>
    </row>
    <row r="5" spans="2:2" x14ac:dyDescent="0.35">
      <c r="B5" t="s">
        <v>72</v>
      </c>
    </row>
    <row r="9" spans="2:2" x14ac:dyDescent="0.35">
      <c r="B9">
        <f>MEDIAN(lifestyle!J2:J396)</f>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C121E-792F-4CFD-B067-E35DDEF5042F}">
  <dimension ref="B1:T467"/>
  <sheetViews>
    <sheetView topLeftCell="I19" workbookViewId="0">
      <selection activeCell="U26" sqref="U26"/>
    </sheetView>
  </sheetViews>
  <sheetFormatPr defaultRowHeight="14.5" x14ac:dyDescent="0.35"/>
  <cols>
    <col min="2" max="2" width="29.81640625" customWidth="1"/>
    <col min="3" max="3" width="20.6328125" customWidth="1"/>
    <col min="5" max="5" width="18.81640625" bestFit="1" customWidth="1"/>
    <col min="7" max="7" width="16.1796875" bestFit="1" customWidth="1"/>
    <col min="8" max="8" width="22.08984375" bestFit="1" customWidth="1"/>
    <col min="9" max="9" width="14" bestFit="1" customWidth="1"/>
    <col min="12" max="12" width="17.26953125" bestFit="1" customWidth="1"/>
    <col min="13" max="13" width="11.7265625" customWidth="1"/>
    <col min="16" max="16" width="11.26953125" customWidth="1"/>
    <col min="17" max="17" width="12" bestFit="1" customWidth="1"/>
    <col min="19" max="19" width="12.08984375" bestFit="1" customWidth="1"/>
    <col min="20" max="21" width="17.08984375" bestFit="1" customWidth="1"/>
  </cols>
  <sheetData>
    <row r="1" spans="2:13" x14ac:dyDescent="0.35">
      <c r="E1" s="28" t="s">
        <v>85</v>
      </c>
      <c r="F1" s="28"/>
      <c r="H1" t="s">
        <v>92</v>
      </c>
      <c r="I1" t="s">
        <v>87</v>
      </c>
    </row>
    <row r="2" spans="2:13" x14ac:dyDescent="0.35">
      <c r="B2" t="s">
        <v>73</v>
      </c>
      <c r="C2" t="s">
        <v>82</v>
      </c>
      <c r="E2" t="s">
        <v>83</v>
      </c>
      <c r="F2" t="s">
        <v>84</v>
      </c>
      <c r="H2" t="s">
        <v>93</v>
      </c>
      <c r="I2" s="5" vm="2">
        <f>CUBEVALUE("ThisWorkbookDataModel","[Measures].[Average Final Grade]")</f>
        <v>10.335917312661499</v>
      </c>
      <c r="L2" t="s">
        <v>94</v>
      </c>
      <c r="M2" t="s">
        <v>95</v>
      </c>
    </row>
    <row r="3" spans="2:13" x14ac:dyDescent="0.35">
      <c r="B3" t="s">
        <v>74</v>
      </c>
      <c r="C3" s="5">
        <f>AVERAGE(FinalGrades)</f>
        <v>10.20506329113924</v>
      </c>
      <c r="E3" t="str" cm="1">
        <f t="array" ref="E3:E397">IF(tbl_Grades[final_grade]&gt;=16, "Excellent", IF(tbl_Grades[final_grade]&gt;12,"Good",IF(tbl_Grades[final_grade]&gt;=8,"Average","Below Average")))</f>
        <v>Below Average</v>
      </c>
      <c r="F3" t="str" cm="1">
        <f t="array" ref="F3">IF(AND(tbl_Lifestyle[absences]&gt;15,tbl_Grades[final_grade]&lt;10),"At Risk","OK")</f>
        <v>OK</v>
      </c>
      <c r="H3" t="s">
        <v>89</v>
      </c>
      <c r="I3" s="7" vm="1">
        <f>CUBEVALUE("ThisWorkbookDataModel","[Measures].[Pass Rate (%)]")</f>
        <v>0.51645569620253162</v>
      </c>
      <c r="L3" t="s">
        <v>32</v>
      </c>
      <c r="M3" s="5" cm="1">
        <f t="array" ref="M3">AVERAGEIF(tbl_Students[school_id],1,FinalGrades)</f>
        <v>10.25214899713467</v>
      </c>
    </row>
    <row r="4" spans="2:13" x14ac:dyDescent="0.35">
      <c r="B4" t="s">
        <v>75</v>
      </c>
      <c r="C4">
        <f>MAX(FinalGrades)</f>
        <v>20</v>
      </c>
      <c r="E4" t="str">
        <v>Below Average</v>
      </c>
      <c r="F4" t="str" cm="1">
        <f t="array" ref="F4">IF(AND(tbl_Lifestyle[absences]&gt;15,tbl_Grades[final_grade]&lt;10),"At Risk","OK")</f>
        <v>OK</v>
      </c>
      <c r="H4" t="s">
        <v>79</v>
      </c>
      <c r="I4" s="6" vm="3">
        <f>CUBEVALUE("ThisWorkbookDataModel","[Measures].[Avg Absences]")</f>
        <v>5.7270408163265305</v>
      </c>
      <c r="L4" t="s">
        <v>34</v>
      </c>
      <c r="M4" s="5" cm="1">
        <f t="array" ref="M4">AVERAGEIF(tbl_Students[school_id],2,FinalGrades)</f>
        <v>9.8478260869565215</v>
      </c>
    </row>
    <row r="5" spans="2:13" x14ac:dyDescent="0.35">
      <c r="B5" t="s">
        <v>76</v>
      </c>
      <c r="C5">
        <f>MIN(FinalGrades)</f>
        <v>0</v>
      </c>
      <c r="E5" t="str">
        <v>Average</v>
      </c>
      <c r="F5" t="str" cm="1">
        <f t="array" ref="F5">IF(AND(tbl_Lifestyle[absences]&gt;15,tbl_Grades[final_grade]&lt;10),"At Risk","OK")</f>
        <v>OK</v>
      </c>
      <c r="H5" t="s">
        <v>81</v>
      </c>
      <c r="I5" vm="4">
        <f>CUBEVALUE("ThisWorkbookDataModel","[Measures].[High Absentee Count]")</f>
        <v>14</v>
      </c>
    </row>
    <row r="6" spans="2:13" x14ac:dyDescent="0.35">
      <c r="B6" t="s">
        <v>77</v>
      </c>
      <c r="C6" cm="1">
        <f t="array" ref="C6">COUNTIF(FinalGrades, "&gt;10")</f>
        <v>205</v>
      </c>
      <c r="E6" t="str">
        <v>Good</v>
      </c>
      <c r="F6" t="str" cm="1">
        <f t="array" ref="F6">IF(AND(tbl_Lifestyle[absences]&gt;15,tbl_Grades[final_grade]&lt;10),"At Risk","OK")</f>
        <v>OK</v>
      </c>
    </row>
    <row r="7" spans="2:13" x14ac:dyDescent="0.35">
      <c r="B7" t="s">
        <v>78</v>
      </c>
      <c r="C7" s="7" cm="1">
        <f t="array" ref="C7">COUNTIF(FinalGrades,"&gt;10") / COUNT(FinalGrades)</f>
        <v>0.51898734177215189</v>
      </c>
      <c r="E7" t="str">
        <v>Average</v>
      </c>
      <c r="F7" t="str" cm="1">
        <f t="array" ref="F7">IF(AND(tbl_Lifestyle[absences]&gt;15,tbl_Grades[final_grade]&lt;10),"At Risk","OK")</f>
        <v>OK</v>
      </c>
    </row>
    <row r="8" spans="2:13" x14ac:dyDescent="0.35">
      <c r="B8" t="s">
        <v>79</v>
      </c>
      <c r="C8" s="6">
        <f>AVERAGE(StudentAbsences)</f>
        <v>5.6050632911392402</v>
      </c>
      <c r="E8" t="str">
        <v>Good</v>
      </c>
      <c r="F8" t="str" cm="1">
        <f t="array" ref="F8">IF(AND(tbl_Lifestyle[absences]&gt;15,tbl_Grades[final_grade]&lt;10),"At Risk","OK")</f>
        <v>OK</v>
      </c>
    </row>
    <row r="9" spans="2:13" x14ac:dyDescent="0.35">
      <c r="B9" t="s">
        <v>80</v>
      </c>
      <c r="C9" cm="1">
        <f t="array" ref="C9">COUNTIF(StudentAbsences,0)</f>
        <v>120</v>
      </c>
      <c r="E9" t="str">
        <v>Average</v>
      </c>
      <c r="F9" t="str" cm="1">
        <f t="array" ref="F9">IF(AND(tbl_Lifestyle[absences]&gt;15,tbl_Grades[final_grade]&lt;10),"At Risk","OK")</f>
        <v>OK</v>
      </c>
    </row>
    <row r="10" spans="2:13" x14ac:dyDescent="0.35">
      <c r="B10" t="s">
        <v>81</v>
      </c>
      <c r="C10" cm="1">
        <f t="array" ref="C10">COUNTIF(StudentAbsences, "&gt;20")</f>
        <v>14</v>
      </c>
      <c r="E10" t="str">
        <v>Below Average</v>
      </c>
      <c r="F10" t="str" cm="1">
        <f t="array" ref="F10">IF(AND(tbl_Lifestyle[absences]&gt;15,tbl_Grades[final_grade]&lt;10),"At Risk","OK")</f>
        <v>OK</v>
      </c>
    </row>
    <row r="11" spans="2:13" x14ac:dyDescent="0.35">
      <c r="E11" t="str">
        <v>Excellent</v>
      </c>
      <c r="F11" t="str" cm="1">
        <f t="array" ref="F11">IF(AND(tbl_Lifestyle[absences]&gt;15,tbl_Grades[final_grade]&lt;10),"At Risk","OK")</f>
        <v>OK</v>
      </c>
    </row>
    <row r="12" spans="2:13" x14ac:dyDescent="0.35">
      <c r="E12" t="str">
        <v>Good</v>
      </c>
      <c r="F12" t="str" cm="1">
        <f t="array" ref="F12">IF(AND(tbl_Lifestyle[absences]&gt;15,tbl_Grades[final_grade]&lt;10),"At Risk","OK")</f>
        <v>OK</v>
      </c>
    </row>
    <row r="13" spans="2:13" x14ac:dyDescent="0.35">
      <c r="E13" t="str">
        <v>Average</v>
      </c>
      <c r="F13" t="str" cm="1">
        <f t="array" ref="F13">IF(AND(tbl_Lifestyle[absences]&gt;15,tbl_Grades[final_grade]&lt;10),"At Risk","OK")</f>
        <v>OK</v>
      </c>
    </row>
    <row r="14" spans="2:13" x14ac:dyDescent="0.35">
      <c r="E14" t="str">
        <v>Average</v>
      </c>
      <c r="F14" t="str" cm="1">
        <f t="array" ref="F14">IF(AND(tbl_Lifestyle[absences]&gt;15,tbl_Grades[final_grade]&lt;10),"At Risk","OK")</f>
        <v>OK</v>
      </c>
    </row>
    <row r="15" spans="2:13" x14ac:dyDescent="0.35">
      <c r="E15" t="str">
        <v>Good</v>
      </c>
      <c r="F15" t="str" cm="1">
        <f t="array" ref="F15">IF(AND(tbl_Lifestyle[absences]&gt;15,tbl_Grades[final_grade]&lt;10),"At Risk","OK")</f>
        <v>OK</v>
      </c>
    </row>
    <row r="16" spans="2:13" x14ac:dyDescent="0.35">
      <c r="E16" t="str">
        <v>Average</v>
      </c>
      <c r="F16" t="str" cm="1">
        <f t="array" ref="F16">IF(AND(tbl_Lifestyle[absences]&gt;15,tbl_Grades[final_grade]&lt;10),"At Risk","OK")</f>
        <v>OK</v>
      </c>
    </row>
    <row r="17" spans="5:20" x14ac:dyDescent="0.35">
      <c r="E17" t="str">
        <v>Excellent</v>
      </c>
      <c r="F17" t="str" cm="1">
        <f t="array" ref="F17">IF(AND(tbl_Lifestyle[absences]&gt;15,tbl_Grades[final_grade]&lt;10),"At Risk","OK")</f>
        <v>OK</v>
      </c>
    </row>
    <row r="18" spans="5:20" x14ac:dyDescent="0.35">
      <c r="E18" t="str">
        <v>Good</v>
      </c>
      <c r="F18" t="str" cm="1">
        <f t="array" ref="F18">IF(AND(tbl_Lifestyle[absences]&gt;15,tbl_Grades[final_grade]&lt;10),"At Risk","OK")</f>
        <v>OK</v>
      </c>
    </row>
    <row r="19" spans="5:20" x14ac:dyDescent="0.35">
      <c r="E19" t="str">
        <v>Good</v>
      </c>
      <c r="F19" t="str" cm="1">
        <f t="array" ref="F19">IF(AND(tbl_Lifestyle[absences]&gt;15,tbl_Grades[final_grade]&lt;10),"At Risk","OK")</f>
        <v>OK</v>
      </c>
    </row>
    <row r="20" spans="5:20" x14ac:dyDescent="0.35">
      <c r="E20" t="str">
        <v>Average</v>
      </c>
      <c r="F20" t="str" cm="1">
        <f t="array" ref="F20">IF(AND(tbl_Lifestyle[absences]&gt;15,tbl_Grades[final_grade]&lt;10),"At Risk","OK")</f>
        <v>OK</v>
      </c>
    </row>
    <row r="21" spans="5:20" x14ac:dyDescent="0.35">
      <c r="E21" t="str">
        <v>Below Average</v>
      </c>
      <c r="F21" t="str" cm="1">
        <f t="array" ref="F21">IF(AND(tbl_Lifestyle[absences]&gt;15,tbl_Grades[final_grade]&lt;10),"At Risk","OK")</f>
        <v>OK</v>
      </c>
    </row>
    <row r="22" spans="5:20" x14ac:dyDescent="0.35">
      <c r="E22" t="str">
        <v>Average</v>
      </c>
      <c r="F22" t="str" cm="1">
        <f t="array" ref="F22">IF(AND(tbl_Lifestyle[absences]&gt;15,tbl_Grades[final_grade]&lt;10),"At Risk","OK")</f>
        <v>OK</v>
      </c>
    </row>
    <row r="23" spans="5:20" x14ac:dyDescent="0.35">
      <c r="E23" t="str">
        <v>Good</v>
      </c>
      <c r="F23" t="str" cm="1">
        <f t="array" ref="F23">IF(AND(tbl_Lifestyle[absences]&gt;15,tbl_Grades[final_grade]&lt;10),"At Risk","OK")</f>
        <v>OK</v>
      </c>
      <c r="L23" t="s">
        <v>96</v>
      </c>
      <c r="M23" t="s">
        <v>97</v>
      </c>
    </row>
    <row r="24" spans="5:20" x14ac:dyDescent="0.35">
      <c r="E24" t="str">
        <v>Good</v>
      </c>
      <c r="F24" t="str" cm="1">
        <f t="array" ref="F24">IF(AND(tbl_Lifestyle[absences]&gt;15,tbl_Grades[final_grade]&lt;10),"At Risk","OK")</f>
        <v>OK</v>
      </c>
      <c r="L24" t="s">
        <v>98</v>
      </c>
      <c r="M24" s="5">
        <f>AVERAGE(tbl_Grades[grade_1])</f>
        <v>10.924050632911392</v>
      </c>
    </row>
    <row r="25" spans="5:20" x14ac:dyDescent="0.35">
      <c r="E25" t="str">
        <v>Excellent</v>
      </c>
      <c r="F25" t="str" cm="1">
        <f t="array" ref="F25">IF(AND(tbl_Lifestyle[absences]&gt;15,tbl_Grades[final_grade]&lt;10),"At Risk","OK")</f>
        <v>OK</v>
      </c>
      <c r="L25" t="s">
        <v>99</v>
      </c>
      <c r="M25" s="5">
        <f>AVERAGE(tbl_Grades[grade_2])</f>
        <v>10.715189873417721</v>
      </c>
    </row>
    <row r="26" spans="5:20" x14ac:dyDescent="0.35">
      <c r="E26" t="str">
        <v>Average</v>
      </c>
      <c r="F26" t="str" cm="1">
        <f t="array" ref="F26">IF(AND(tbl_Lifestyle[absences]&gt;15,tbl_Grades[final_grade]&lt;10),"At Risk","OK")</f>
        <v>OK</v>
      </c>
      <c r="L26" t="s">
        <v>100</v>
      </c>
      <c r="M26" s="5">
        <f>AVERAGE(tbl_Grades[final_grade])</f>
        <v>10.20506329113924</v>
      </c>
    </row>
    <row r="27" spans="5:20" x14ac:dyDescent="0.35">
      <c r="E27" t="str">
        <v>Average</v>
      </c>
      <c r="F27" t="str" cm="1">
        <f t="array" ref="F27">IF(AND(tbl_Lifestyle[absences]&gt;15,tbl_Grades[final_grade]&lt;10),"At Risk","OK")</f>
        <v>OK</v>
      </c>
      <c r="S27" s="24" t="s">
        <v>107</v>
      </c>
      <c r="T27" t="s">
        <v>122</v>
      </c>
    </row>
    <row r="28" spans="5:20" x14ac:dyDescent="0.35">
      <c r="E28" t="str">
        <v>Average</v>
      </c>
      <c r="F28" t="str" cm="1">
        <f t="array" ref="F28">IF(AND(tbl_Lifestyle[absences]&gt;15,tbl_Grades[final_grade]&lt;10),"At Risk","OK")</f>
        <v>OK</v>
      </c>
      <c r="S28" s="10">
        <v>15</v>
      </c>
    </row>
    <row r="29" spans="5:20" x14ac:dyDescent="0.35">
      <c r="E29" t="str">
        <v>Average</v>
      </c>
      <c r="F29" t="str" cm="1">
        <f t="array" ref="F29">IF(AND(tbl_Lifestyle[absences]&gt;15,tbl_Grades[final_grade]&lt;10),"At Risk","OK")</f>
        <v>OK</v>
      </c>
      <c r="S29" s="23" t="s">
        <v>124</v>
      </c>
      <c r="T29">
        <v>80</v>
      </c>
    </row>
    <row r="30" spans="5:20" x14ac:dyDescent="0.35">
      <c r="E30" t="str">
        <v>Good</v>
      </c>
      <c r="F30" t="str" cm="1">
        <f t="array" ref="F30">IF(AND(tbl_Lifestyle[absences]&gt;15,tbl_Grades[final_grade]&lt;10),"At Risk","OK")</f>
        <v>OK</v>
      </c>
      <c r="S30" s="10">
        <v>16</v>
      </c>
    </row>
    <row r="31" spans="5:20" x14ac:dyDescent="0.35">
      <c r="E31" t="str">
        <v>Average</v>
      </c>
      <c r="F31" t="str" cm="1">
        <f t="array" ref="F31">IF(AND(tbl_Lifestyle[absences]&gt;15,tbl_Grades[final_grade]&lt;10),"At Risk","OK")</f>
        <v>OK</v>
      </c>
      <c r="S31" s="23" t="s">
        <v>124</v>
      </c>
      <c r="T31">
        <v>102</v>
      </c>
    </row>
    <row r="32" spans="5:20" x14ac:dyDescent="0.35">
      <c r="E32" t="str">
        <v>Average</v>
      </c>
      <c r="F32" t="str" cm="1">
        <f t="array" ref="F32">IF(AND(tbl_Lifestyle[absences]&gt;15,tbl_Grades[final_grade]&lt;10),"At Risk","OK")</f>
        <v>OK</v>
      </c>
      <c r="S32" s="10">
        <v>17</v>
      </c>
    </row>
    <row r="33" spans="5:20" x14ac:dyDescent="0.35">
      <c r="E33" t="str">
        <v>Average</v>
      </c>
      <c r="F33" t="str" cm="1">
        <f t="array" ref="F33">IF(AND(tbl_Lifestyle[absences]&gt;15,tbl_Grades[final_grade]&lt;10),"At Risk","OK")</f>
        <v>OK</v>
      </c>
      <c r="S33" s="23" t="s">
        <v>125</v>
      </c>
      <c r="T33">
        <v>103</v>
      </c>
    </row>
    <row r="34" spans="5:20" x14ac:dyDescent="0.35">
      <c r="E34" t="str">
        <v>Excellent</v>
      </c>
      <c r="F34" t="str" cm="1">
        <f t="array" ref="F34">IF(AND(tbl_Lifestyle[absences]&gt;15,tbl_Grades[final_grade]&lt;10),"At Risk","OK")</f>
        <v>OK</v>
      </c>
      <c r="S34" s="10">
        <v>18</v>
      </c>
    </row>
    <row r="35" spans="5:20" x14ac:dyDescent="0.35">
      <c r="E35" t="str">
        <v>Below Average</v>
      </c>
      <c r="F35" t="str" cm="1">
        <f t="array" ref="F35">IF(AND(tbl_Lifestyle[absences]&gt;15,tbl_Grades[final_grade]&lt;10),"At Risk","OK")</f>
        <v>OK</v>
      </c>
      <c r="S35" s="23" t="s">
        <v>125</v>
      </c>
      <c r="T35">
        <v>81</v>
      </c>
    </row>
    <row r="36" spans="5:20" x14ac:dyDescent="0.35">
      <c r="E36" t="str">
        <v>Average</v>
      </c>
      <c r="F36" t="str" cm="1">
        <f t="array" ref="F36">IF(AND(tbl_Lifestyle[absences]&gt;15,tbl_Grades[final_grade]&lt;10),"At Risk","OK")</f>
        <v>OK</v>
      </c>
      <c r="S36" s="10">
        <v>19</v>
      </c>
    </row>
    <row r="37" spans="5:20" x14ac:dyDescent="0.35">
      <c r="E37" t="str">
        <v>Good</v>
      </c>
      <c r="F37" t="str" cm="1">
        <f t="array" ref="F37">IF(AND(tbl_Lifestyle[absences]&gt;15,tbl_Grades[final_grade]&lt;10),"At Risk","OK")</f>
        <v>OK</v>
      </c>
      <c r="S37" s="23" t="s">
        <v>126</v>
      </c>
      <c r="T37">
        <v>24</v>
      </c>
    </row>
    <row r="38" spans="5:20" x14ac:dyDescent="0.35">
      <c r="E38" t="str">
        <v>Below Average</v>
      </c>
      <c r="F38" t="str" cm="1">
        <f t="array" ref="F38">IF(AND(tbl_Lifestyle[absences]&gt;15,tbl_Grades[final_grade]&lt;10),"At Risk","OK")</f>
        <v>OK</v>
      </c>
      <c r="S38" s="10">
        <v>20</v>
      </c>
    </row>
    <row r="39" spans="5:20" x14ac:dyDescent="0.35">
      <c r="E39" t="str">
        <v>Excellent</v>
      </c>
      <c r="F39" t="str" cm="1">
        <f t="array" ref="F39">IF(AND(tbl_Lifestyle[absences]&gt;15,tbl_Grades[final_grade]&lt;10),"At Risk","OK")</f>
        <v>OK</v>
      </c>
      <c r="S39" s="23" t="s">
        <v>126</v>
      </c>
      <c r="T39">
        <v>3</v>
      </c>
    </row>
    <row r="40" spans="5:20" x14ac:dyDescent="0.35">
      <c r="E40" t="str">
        <v>Good</v>
      </c>
      <c r="F40" t="str" cm="1">
        <f t="array" ref="F40">IF(AND(tbl_Lifestyle[absences]&gt;15,tbl_Grades[final_grade]&lt;10),"At Risk","OK")</f>
        <v>OK</v>
      </c>
      <c r="S40" s="10">
        <v>21</v>
      </c>
    </row>
    <row r="41" spans="5:20" x14ac:dyDescent="0.35">
      <c r="E41" t="str">
        <v>Average</v>
      </c>
      <c r="F41" t="str" cm="1">
        <f t="array" ref="F41">IF(AND(tbl_Lifestyle[absences]&gt;15,tbl_Grades[final_grade]&lt;10),"At Risk","OK")</f>
        <v>OK</v>
      </c>
      <c r="S41" s="23" t="s">
        <v>127</v>
      </c>
      <c r="T41">
        <v>1</v>
      </c>
    </row>
    <row r="42" spans="5:20" x14ac:dyDescent="0.35">
      <c r="E42" t="str">
        <v>Good</v>
      </c>
      <c r="F42" t="str" cm="1">
        <f t="array" ref="F42">IF(AND(tbl_Lifestyle[absences]&gt;15,tbl_Grades[final_grade]&lt;10),"At Risk","OK")</f>
        <v>OK</v>
      </c>
      <c r="S42" s="10">
        <v>22</v>
      </c>
    </row>
    <row r="43" spans="5:20" x14ac:dyDescent="0.35">
      <c r="E43" t="str">
        <v>Average</v>
      </c>
      <c r="F43" t="str" cm="1">
        <f t="array" ref="F43">IF(AND(tbl_Lifestyle[absences]&gt;15,tbl_Grades[final_grade]&lt;10),"At Risk","OK")</f>
        <v>OK</v>
      </c>
      <c r="S43" s="23" t="s">
        <v>127</v>
      </c>
      <c r="T43">
        <v>1</v>
      </c>
    </row>
    <row r="44" spans="5:20" x14ac:dyDescent="0.35">
      <c r="E44" t="str">
        <v>Average</v>
      </c>
      <c r="F44" t="str" cm="1">
        <f t="array" ref="F44">IF(AND(tbl_Lifestyle[absences]&gt;15,tbl_Grades[final_grade]&lt;10),"At Risk","OK")</f>
        <v>OK</v>
      </c>
      <c r="S44" s="10" t="s">
        <v>108</v>
      </c>
      <c r="T44">
        <v>395</v>
      </c>
    </row>
    <row r="45" spans="5:20" x14ac:dyDescent="0.35">
      <c r="E45" t="str">
        <v>Excellent</v>
      </c>
      <c r="F45" t="str" cm="1">
        <f t="array" ref="F45">IF(AND(tbl_Lifestyle[absences]&gt;15,tbl_Grades[final_grade]&lt;10),"At Risk","OK")</f>
        <v>OK</v>
      </c>
    </row>
    <row r="46" spans="5:20" x14ac:dyDescent="0.35">
      <c r="E46" t="str">
        <v>Average</v>
      </c>
      <c r="F46" t="str" cm="1">
        <f t="array" ref="F46">IF(AND(tbl_Lifestyle[absences]&gt;15,tbl_Grades[final_grade]&lt;10),"At Risk","OK")</f>
        <v>OK</v>
      </c>
    </row>
    <row r="47" spans="5:20" x14ac:dyDescent="0.35">
      <c r="E47" t="str">
        <v>Average</v>
      </c>
      <c r="F47" t="str" cm="1">
        <f t="array" ref="F47">IF(AND(tbl_Lifestyle[absences]&gt;15,tbl_Grades[final_grade]&lt;10),"At Risk","OK")</f>
        <v>OK</v>
      </c>
      <c r="L47" t="s">
        <v>101</v>
      </c>
      <c r="M47" t="s">
        <v>102</v>
      </c>
    </row>
    <row r="48" spans="5:20" x14ac:dyDescent="0.35">
      <c r="E48" t="str">
        <v>Below Average</v>
      </c>
      <c r="F48" t="str" cm="1">
        <f t="array" ref="F48">IF(AND(tbl_Lifestyle[absences]&gt;15,tbl_Grades[final_grade]&lt;10),"At Risk","OK")</f>
        <v>OK</v>
      </c>
      <c r="L48" t="s">
        <v>103</v>
      </c>
      <c r="M48" s="8">
        <f>COUNTIF(tbl_Lifestyle[internet_access],"yes")/396</f>
        <v>0.83080808080808077</v>
      </c>
    </row>
    <row r="49" spans="5:13" x14ac:dyDescent="0.35">
      <c r="E49" t="str">
        <v>Average</v>
      </c>
      <c r="F49" t="str" cm="1">
        <f t="array" ref="F49">IF(AND(tbl_Lifestyle[absences]&gt;15,tbl_Grades[final_grade]&lt;10),"At Risk","OK")</f>
        <v>OK</v>
      </c>
      <c r="L49" t="s">
        <v>104</v>
      </c>
      <c r="M49" s="8">
        <f>COUNTIF(tbl_Lifestyle[internet_access],"no")/396</f>
        <v>0.16666666666666666</v>
      </c>
    </row>
    <row r="50" spans="5:13" x14ac:dyDescent="0.35">
      <c r="E50" t="str">
        <v>Excellent</v>
      </c>
      <c r="F50" t="str" cm="1">
        <f t="array" ref="F50">IF(AND(tbl_Lifestyle[absences]&gt;15,tbl_Grades[final_grade]&lt;10),"At Risk","OK")</f>
        <v>OK</v>
      </c>
    </row>
    <row r="51" spans="5:13" x14ac:dyDescent="0.35">
      <c r="E51" t="str">
        <v>Good</v>
      </c>
      <c r="F51" t="str" cm="1">
        <f t="array" ref="F51">IF(AND(tbl_Lifestyle[absences]&gt;15,tbl_Grades[final_grade]&lt;10),"At Risk","OK")</f>
        <v>OK</v>
      </c>
    </row>
    <row r="52" spans="5:13" x14ac:dyDescent="0.35">
      <c r="E52" t="str">
        <v>Below Average</v>
      </c>
      <c r="F52" t="str" cm="1">
        <f t="array" ref="F52">IF(AND(tbl_Lifestyle[absences]&gt;15,tbl_Grades[final_grade]&lt;10),"At Risk","OK")</f>
        <v>OK</v>
      </c>
    </row>
    <row r="53" spans="5:13" x14ac:dyDescent="0.35">
      <c r="E53" t="str">
        <v>Good</v>
      </c>
      <c r="F53" t="str" cm="1">
        <f t="array" ref="F53">IF(AND(tbl_Lifestyle[absences]&gt;15,tbl_Grades[final_grade]&lt;10),"At Risk","OK")</f>
        <v>OK</v>
      </c>
    </row>
    <row r="54" spans="5:13" x14ac:dyDescent="0.35">
      <c r="E54" t="str">
        <v>Good</v>
      </c>
      <c r="F54" t="str" cm="1">
        <f t="array" ref="F54">IF(AND(tbl_Lifestyle[absences]&gt;15,tbl_Grades[final_grade]&lt;10),"At Risk","OK")</f>
        <v>OK</v>
      </c>
    </row>
    <row r="55" spans="5:13" x14ac:dyDescent="0.35">
      <c r="E55" t="str">
        <v>Average</v>
      </c>
      <c r="F55" t="str" cm="1">
        <f t="array" ref="F55">IF(AND(tbl_Lifestyle[absences]&gt;15,tbl_Grades[final_grade]&lt;10),"At Risk","OK")</f>
        <v>OK</v>
      </c>
    </row>
    <row r="56" spans="5:13" x14ac:dyDescent="0.35">
      <c r="E56" t="str">
        <v>Average</v>
      </c>
      <c r="F56" t="str" cm="1">
        <f t="array" ref="F56">IF(AND(tbl_Lifestyle[absences]&gt;15,tbl_Grades[final_grade]&lt;10),"At Risk","OK")</f>
        <v>OK</v>
      </c>
    </row>
    <row r="57" spans="5:13" x14ac:dyDescent="0.35">
      <c r="E57" t="str">
        <v>Good</v>
      </c>
      <c r="F57" t="str" cm="1">
        <f t="array" ref="F57">IF(AND(tbl_Lifestyle[absences]&gt;15,tbl_Grades[final_grade]&lt;10),"At Risk","OK")</f>
        <v>OK</v>
      </c>
    </row>
    <row r="58" spans="5:13" x14ac:dyDescent="0.35">
      <c r="E58" t="str">
        <v>Average</v>
      </c>
      <c r="F58" t="str" cm="1">
        <f t="array" ref="F58">IF(AND(tbl_Lifestyle[absences]&gt;15,tbl_Grades[final_grade]&lt;10),"At Risk","OK")</f>
        <v>OK</v>
      </c>
    </row>
    <row r="59" spans="5:13" x14ac:dyDescent="0.35">
      <c r="E59" t="str">
        <v>Good</v>
      </c>
      <c r="F59" t="str" cm="1">
        <f t="array" ref="F59">IF(AND(tbl_Lifestyle[absences]&gt;15,tbl_Grades[final_grade]&lt;10),"At Risk","OK")</f>
        <v>OK</v>
      </c>
    </row>
    <row r="60" spans="5:13" x14ac:dyDescent="0.35">
      <c r="E60" t="str">
        <v>Good</v>
      </c>
      <c r="F60" t="str" cm="1">
        <f t="array" ref="F60">IF(AND(tbl_Lifestyle[absences]&gt;15,tbl_Grades[final_grade]&lt;10),"At Risk","OK")</f>
        <v>OK</v>
      </c>
    </row>
    <row r="61" spans="5:13" x14ac:dyDescent="0.35">
      <c r="E61" t="str">
        <v>Average</v>
      </c>
      <c r="F61" t="str" cm="1">
        <f t="array" ref="F61">IF(AND(tbl_Lifestyle[absences]&gt;15,tbl_Grades[final_grade]&lt;10),"At Risk","OK")</f>
        <v>OK</v>
      </c>
    </row>
    <row r="62" spans="5:13" x14ac:dyDescent="0.35">
      <c r="E62" t="str">
        <v>Excellent</v>
      </c>
      <c r="F62" t="str" cm="1">
        <f t="array" ref="F62">IF(AND(tbl_Lifestyle[absences]&gt;15,tbl_Grades[final_grade]&lt;10),"At Risk","OK")</f>
        <v>OK</v>
      </c>
    </row>
    <row r="63" spans="5:13" x14ac:dyDescent="0.35">
      <c r="E63" t="str">
        <v>Average</v>
      </c>
      <c r="F63" t="str" cm="1">
        <f t="array" ref="F63">IF(AND(tbl_Lifestyle[absences]&gt;15,tbl_Grades[final_grade]&lt;10),"At Risk","OK")</f>
        <v>OK</v>
      </c>
    </row>
    <row r="64" spans="5:13" x14ac:dyDescent="0.35">
      <c r="E64" t="str">
        <v>Average</v>
      </c>
      <c r="F64" t="str" cm="1">
        <f t="array" ref="F64">IF(AND(tbl_Lifestyle[absences]&gt;15,tbl_Grades[final_grade]&lt;10),"At Risk","OK")</f>
        <v>OK</v>
      </c>
    </row>
    <row r="65" spans="5:13" x14ac:dyDescent="0.35">
      <c r="E65" t="str">
        <v>Average</v>
      </c>
      <c r="F65" t="str" cm="1">
        <f t="array" ref="F65">IF(AND(tbl_Lifestyle[absences]&gt;15,tbl_Grades[final_grade]&lt;10),"At Risk","OK")</f>
        <v>OK</v>
      </c>
    </row>
    <row r="66" spans="5:13" x14ac:dyDescent="0.35">
      <c r="E66" t="str">
        <v>Average</v>
      </c>
      <c r="F66" t="str" cm="1">
        <f t="array" ref="F66">IF(AND(tbl_Lifestyle[absences]&gt;15,tbl_Grades[final_grade]&lt;10),"At Risk","OK")</f>
        <v>OK</v>
      </c>
    </row>
    <row r="67" spans="5:13" x14ac:dyDescent="0.35">
      <c r="E67" t="str">
        <v>Average</v>
      </c>
      <c r="F67" t="str" cm="1">
        <f t="array" ref="F67">IF(AND(tbl_Lifestyle[absences]&gt;15,tbl_Grades[final_grade]&lt;10),"At Risk","OK")</f>
        <v>OK</v>
      </c>
    </row>
    <row r="68" spans="5:13" x14ac:dyDescent="0.35">
      <c r="E68" t="str">
        <v>Good</v>
      </c>
      <c r="F68" t="str" cm="1">
        <f t="array" ref="F68">IF(AND(tbl_Lifestyle[absences]&gt;15,tbl_Grades[final_grade]&lt;10),"At Risk","OK")</f>
        <v>OK</v>
      </c>
    </row>
    <row r="69" spans="5:13" x14ac:dyDescent="0.35">
      <c r="E69" t="str">
        <v>Average</v>
      </c>
      <c r="F69" t="str" cm="1">
        <f t="array" ref="F69">IF(AND(tbl_Lifestyle[absences]&gt;15,tbl_Grades[final_grade]&lt;10),"At Risk","OK")</f>
        <v>OK</v>
      </c>
    </row>
    <row r="70" spans="5:13" x14ac:dyDescent="0.35">
      <c r="E70" t="str">
        <v>Below Average</v>
      </c>
      <c r="F70" t="str" cm="1">
        <f t="array" ref="F70">IF(AND(tbl_Lifestyle[absences]&gt;15,tbl_Grades[final_grade]&lt;10),"At Risk","OK")</f>
        <v>OK</v>
      </c>
    </row>
    <row r="71" spans="5:13" x14ac:dyDescent="0.35">
      <c r="E71" t="str">
        <v>Average</v>
      </c>
      <c r="F71" t="str" cm="1">
        <f t="array" ref="F71">IF(AND(tbl_Lifestyle[absences]&gt;15,tbl_Grades[final_grade]&lt;10),"At Risk","OK")</f>
        <v>OK</v>
      </c>
    </row>
    <row r="72" spans="5:13" x14ac:dyDescent="0.35">
      <c r="E72" t="str">
        <v>Excellent</v>
      </c>
      <c r="F72" t="str" cm="1">
        <f t="array" ref="F72">IF(AND(tbl_Lifestyle[absences]&gt;15,tbl_Grades[final_grade]&lt;10),"At Risk","OK")</f>
        <v>OK</v>
      </c>
      <c r="L72" t="s">
        <v>105</v>
      </c>
      <c r="M72" t="s">
        <v>100</v>
      </c>
    </row>
    <row r="73" spans="5:13" x14ac:dyDescent="0.35">
      <c r="E73" t="str">
        <v>Good</v>
      </c>
      <c r="F73" t="str" cm="1">
        <f t="array" ref="F73">IF(AND(tbl_Lifestyle[absences]&gt;15,tbl_Grades[final_grade]&lt;10),"At Risk","OK")</f>
        <v>OK</v>
      </c>
      <c r="L73" cm="1">
        <f t="array" ref="L73:L467">StudentAbsences</f>
        <v>6</v>
      </c>
      <c r="M73" cm="1">
        <f t="array" ref="M73:M467">FinalGrades</f>
        <v>6</v>
      </c>
    </row>
    <row r="74" spans="5:13" x14ac:dyDescent="0.35">
      <c r="E74" t="str">
        <v>Average</v>
      </c>
      <c r="F74" t="str" cm="1">
        <f t="array" ref="F74">IF(AND(tbl_Lifestyle[absences]&gt;15,tbl_Grades[final_grade]&lt;10),"At Risk","OK")</f>
        <v>OK</v>
      </c>
      <c r="L74">
        <v>4</v>
      </c>
      <c r="M74">
        <v>5</v>
      </c>
    </row>
    <row r="75" spans="5:13" x14ac:dyDescent="0.35">
      <c r="E75" t="str">
        <v>Below Average</v>
      </c>
      <c r="F75" t="str" cm="1">
        <f t="array" ref="F75">IF(AND(tbl_Lifestyle[absences]&gt;15,tbl_Grades[final_grade]&lt;10),"At Risk","OK")</f>
        <v>OK</v>
      </c>
      <c r="L75">
        <v>10</v>
      </c>
      <c r="M75">
        <v>10</v>
      </c>
    </row>
    <row r="76" spans="5:13" x14ac:dyDescent="0.35">
      <c r="E76" t="str">
        <v>Good</v>
      </c>
      <c r="F76" t="str" cm="1">
        <f t="array" ref="F76">IF(AND(tbl_Lifestyle[absences]&gt;15,tbl_Grades[final_grade]&lt;10),"At Risk","OK")</f>
        <v>OK</v>
      </c>
      <c r="L76">
        <v>2</v>
      </c>
      <c r="M76">
        <v>15</v>
      </c>
    </row>
    <row r="77" spans="5:13" x14ac:dyDescent="0.35">
      <c r="E77" t="str">
        <v>Average</v>
      </c>
      <c r="F77" t="str" cm="1">
        <f t="array" ref="F77">IF(AND(tbl_Lifestyle[absences]&gt;15,tbl_Grades[final_grade]&lt;10),"At Risk","OK")</f>
        <v>OK</v>
      </c>
      <c r="L77">
        <v>4</v>
      </c>
      <c r="M77">
        <v>10</v>
      </c>
    </row>
    <row r="78" spans="5:13" x14ac:dyDescent="0.35">
      <c r="E78" t="str">
        <v>Average</v>
      </c>
      <c r="F78" t="str" cm="1">
        <f t="array" ref="F78">IF(AND(tbl_Lifestyle[absences]&gt;15,tbl_Grades[final_grade]&lt;10),"At Risk","OK")</f>
        <v>OK</v>
      </c>
      <c r="L78">
        <v>10</v>
      </c>
      <c r="M78">
        <v>15</v>
      </c>
    </row>
    <row r="79" spans="5:13" x14ac:dyDescent="0.35">
      <c r="E79" t="str">
        <v>Average</v>
      </c>
      <c r="F79" t="str" cm="1">
        <f t="array" ref="F79">IF(AND(tbl_Lifestyle[absences]&gt;15,tbl_Grades[final_grade]&lt;10),"At Risk","OK")</f>
        <v>OK</v>
      </c>
      <c r="L79">
        <v>0</v>
      </c>
      <c r="M79">
        <v>11</v>
      </c>
    </row>
    <row r="80" spans="5:13" x14ac:dyDescent="0.35">
      <c r="E80" t="str">
        <v>Average</v>
      </c>
      <c r="F80" t="str" cm="1">
        <f t="array" ref="F80">IF(AND(tbl_Lifestyle[absences]&gt;15,tbl_Grades[final_grade]&lt;10),"At Risk","OK")</f>
        <v>OK</v>
      </c>
      <c r="L80">
        <v>6</v>
      </c>
      <c r="M80">
        <v>6</v>
      </c>
    </row>
    <row r="81" spans="5:18" x14ac:dyDescent="0.35">
      <c r="E81" t="str">
        <v>Average</v>
      </c>
      <c r="F81" t="str" cm="1">
        <f t="array" ref="F81">IF(AND(tbl_Lifestyle[absences]&gt;15,tbl_Grades[final_grade]&lt;10),"At Risk","OK")</f>
        <v>OK</v>
      </c>
      <c r="L81">
        <v>0</v>
      </c>
      <c r="M81">
        <v>19</v>
      </c>
    </row>
    <row r="82" spans="5:18" x14ac:dyDescent="0.35">
      <c r="E82" t="str">
        <v>Below Average</v>
      </c>
      <c r="F82" t="str" cm="1">
        <f t="array" ref="F82">IF(AND(tbl_Lifestyle[absences]&gt;15,tbl_Grades[final_grade]&lt;10),"At Risk","OK")</f>
        <v>OK</v>
      </c>
      <c r="L82">
        <v>0</v>
      </c>
      <c r="M82">
        <v>15</v>
      </c>
    </row>
    <row r="83" spans="5:18" x14ac:dyDescent="0.35">
      <c r="E83" t="str">
        <v>Average</v>
      </c>
      <c r="F83" t="str" cm="1">
        <f t="array" ref="F83">IF(AND(tbl_Lifestyle[absences]&gt;15,tbl_Grades[final_grade]&lt;10),"At Risk","OK")</f>
        <v>OK</v>
      </c>
      <c r="L83">
        <v>0</v>
      </c>
      <c r="M83">
        <v>9</v>
      </c>
    </row>
    <row r="84" spans="5:18" x14ac:dyDescent="0.35">
      <c r="E84" t="str">
        <v>Average</v>
      </c>
      <c r="F84" t="str" cm="1">
        <f t="array" ref="F84">IF(AND(tbl_Lifestyle[absences]&gt;15,tbl_Grades[final_grade]&lt;10),"At Risk","OK")</f>
        <v>OK</v>
      </c>
      <c r="L84">
        <v>4</v>
      </c>
      <c r="M84">
        <v>12</v>
      </c>
    </row>
    <row r="85" spans="5:18" x14ac:dyDescent="0.35">
      <c r="E85" t="str">
        <v>Below Average</v>
      </c>
      <c r="F85" t="str" cm="1">
        <f t="array" ref="F85">IF(AND(tbl_Lifestyle[absences]&gt;15,tbl_Grades[final_grade]&lt;10),"At Risk","OK")</f>
        <v>OK</v>
      </c>
      <c r="L85">
        <v>2</v>
      </c>
      <c r="M85">
        <v>14</v>
      </c>
    </row>
    <row r="86" spans="5:18" x14ac:dyDescent="0.35">
      <c r="E86" t="str">
        <v>Good</v>
      </c>
      <c r="F86" t="str" cm="1">
        <f t="array" ref="F86">IF(AND(tbl_Lifestyle[absences]&gt;15,tbl_Grades[final_grade]&lt;10),"At Risk","OK")</f>
        <v>OK</v>
      </c>
      <c r="L86">
        <v>2</v>
      </c>
      <c r="M86">
        <v>11</v>
      </c>
    </row>
    <row r="87" spans="5:18" x14ac:dyDescent="0.35">
      <c r="E87" t="str">
        <v>Average</v>
      </c>
      <c r="F87" t="str" cm="1">
        <f t="array" ref="F87">IF(AND(tbl_Lifestyle[absences]&gt;15,tbl_Grades[final_grade]&lt;10),"At Risk","OK")</f>
        <v>OK</v>
      </c>
      <c r="L87">
        <v>0</v>
      </c>
      <c r="M87">
        <v>16</v>
      </c>
    </row>
    <row r="88" spans="5:18" x14ac:dyDescent="0.35">
      <c r="E88" t="str">
        <v>Average</v>
      </c>
      <c r="F88" t="str" cm="1">
        <f t="array" ref="F88">IF(AND(tbl_Lifestyle[absences]&gt;15,tbl_Grades[final_grade]&lt;10),"At Risk","OK")</f>
        <v>OK</v>
      </c>
      <c r="L88">
        <v>4</v>
      </c>
      <c r="M88">
        <v>14</v>
      </c>
    </row>
    <row r="89" spans="5:18" x14ac:dyDescent="0.35">
      <c r="E89" t="str">
        <v>Below Average</v>
      </c>
      <c r="F89" t="str" cm="1">
        <f t="array" ref="F89">IF(AND(tbl_Lifestyle[absences]&gt;15,tbl_Grades[final_grade]&lt;10),"At Risk","OK")</f>
        <v>OK</v>
      </c>
      <c r="L89">
        <v>6</v>
      </c>
      <c r="M89">
        <v>14</v>
      </c>
      <c r="P89" t="s">
        <v>94</v>
      </c>
      <c r="Q89" t="s">
        <v>106</v>
      </c>
      <c r="R89" t="s">
        <v>95</v>
      </c>
    </row>
    <row r="90" spans="5:18" x14ac:dyDescent="0.35">
      <c r="E90" t="str">
        <v>Good</v>
      </c>
      <c r="F90" t="str" cm="1">
        <f t="array" ref="F90">IF(AND(tbl_Lifestyle[absences]&gt;15,tbl_Grades[final_grade]&lt;10),"At Risk","OK")</f>
        <v>OK</v>
      </c>
      <c r="L90">
        <v>4</v>
      </c>
      <c r="M90">
        <v>10</v>
      </c>
      <c r="P90" t="s">
        <v>31</v>
      </c>
      <c r="Q90">
        <f>COUNTIF(tbl_Students[school_id],1)</f>
        <v>349</v>
      </c>
      <c r="R90" s="5" cm="1">
        <f t="array" ref="R90">AVERAGEIF(tbl_Students[school_id],1,FinalGrades)</f>
        <v>10.25214899713467</v>
      </c>
    </row>
    <row r="91" spans="5:18" x14ac:dyDescent="0.35">
      <c r="E91" t="str">
        <v>Average</v>
      </c>
      <c r="F91" t="str" cm="1">
        <f t="array" ref="F91">IF(AND(tbl_Lifestyle[absences]&gt;15,tbl_Grades[final_grade]&lt;10),"At Risk","OK")</f>
        <v>OK</v>
      </c>
      <c r="L91">
        <v>16</v>
      </c>
      <c r="M91">
        <v>5</v>
      </c>
      <c r="P91" t="s">
        <v>33</v>
      </c>
      <c r="Q91">
        <f>COUNTIF(tbl_Students[school_id],2)</f>
        <v>46</v>
      </c>
      <c r="R91" s="5" cm="1">
        <f t="array" ref="R91">AVERAGEIF(tbl_Students[school_id],2,FinalGrades)</f>
        <v>9.8478260869565215</v>
      </c>
    </row>
    <row r="92" spans="5:18" x14ac:dyDescent="0.35">
      <c r="E92" t="str">
        <v>Below Average</v>
      </c>
      <c r="F92" t="str" cm="1">
        <f t="array" ref="F92">IF(AND(tbl_Lifestyle[absences]&gt;15,tbl_Grades[final_grade]&lt;10),"At Risk","OK")</f>
        <v>OK</v>
      </c>
      <c r="L92">
        <v>4</v>
      </c>
      <c r="M92">
        <v>10</v>
      </c>
    </row>
    <row r="93" spans="5:18" x14ac:dyDescent="0.35">
      <c r="E93" t="str">
        <v>Average</v>
      </c>
      <c r="F93" t="str" cm="1">
        <f t="array" ref="F93">IF(AND(tbl_Lifestyle[absences]&gt;15,tbl_Grades[final_grade]&lt;10),"At Risk","OK")</f>
        <v>OK</v>
      </c>
      <c r="L93">
        <v>0</v>
      </c>
      <c r="M93">
        <v>15</v>
      </c>
    </row>
    <row r="94" spans="5:18" x14ac:dyDescent="0.35">
      <c r="E94" t="str">
        <v>Excellent</v>
      </c>
      <c r="F94" t="str" cm="1">
        <f t="array" ref="F94">IF(AND(tbl_Lifestyle[absences]&gt;15,tbl_Grades[final_grade]&lt;10),"At Risk","OK")</f>
        <v>OK</v>
      </c>
      <c r="L94">
        <v>0</v>
      </c>
      <c r="M94">
        <v>15</v>
      </c>
      <c r="Q94" t="s">
        <v>31</v>
      </c>
      <c r="R94" t="s">
        <v>33</v>
      </c>
    </row>
    <row r="95" spans="5:18" x14ac:dyDescent="0.35">
      <c r="E95" t="str">
        <v>Below Average</v>
      </c>
      <c r="F95" t="str" cm="1">
        <f t="array" ref="F95">IF(AND(tbl_Lifestyle[absences]&gt;15,tbl_Grades[final_grade]&lt;10),"At Risk","OK")</f>
        <v>OK</v>
      </c>
      <c r="L95">
        <v>2</v>
      </c>
      <c r="M95">
        <v>16</v>
      </c>
      <c r="P95" t="s">
        <v>106</v>
      </c>
      <c r="Q95">
        <f>COUNTIF(tbl_Students[school_id],1)</f>
        <v>349</v>
      </c>
      <c r="R95">
        <f>COUNTIF(tbl_Students[school_id],2)</f>
        <v>46</v>
      </c>
    </row>
    <row r="96" spans="5:18" x14ac:dyDescent="0.35">
      <c r="E96" t="str">
        <v>Average</v>
      </c>
      <c r="F96" t="str" cm="1">
        <f t="array" ref="F96">IF(AND(tbl_Lifestyle[absences]&gt;15,tbl_Grades[final_grade]&lt;10),"At Risk","OK")</f>
        <v>OK</v>
      </c>
      <c r="L96">
        <v>0</v>
      </c>
      <c r="M96">
        <v>12</v>
      </c>
      <c r="P96" t="s">
        <v>95</v>
      </c>
      <c r="Q96" s="5" cm="1">
        <f t="array" ref="Q96">AVERAGEIF(tbl_Students[school_id],1,FinalGrades)</f>
        <v>10.25214899713467</v>
      </c>
      <c r="R96" s="5" cm="1">
        <f t="array" ref="R96">AVERAGEIF(tbl_Students[school_id],2,FinalGrades)</f>
        <v>9.8478260869565215</v>
      </c>
    </row>
    <row r="97" spans="5:13" x14ac:dyDescent="0.35">
      <c r="E97" t="str">
        <v>Good</v>
      </c>
      <c r="F97" t="str" cm="1">
        <f t="array" ref="F97">IF(AND(tbl_Lifestyle[absences]&gt;15,tbl_Grades[final_grade]&lt;10),"At Risk","OK")</f>
        <v>OK</v>
      </c>
      <c r="L97">
        <v>2</v>
      </c>
      <c r="M97">
        <v>8</v>
      </c>
    </row>
    <row r="98" spans="5:13" x14ac:dyDescent="0.35">
      <c r="E98" t="str">
        <v>Average</v>
      </c>
      <c r="F98" t="str" cm="1">
        <f t="array" ref="F98">IF(AND(tbl_Lifestyle[absences]&gt;15,tbl_Grades[final_grade]&lt;10),"At Risk","OK")</f>
        <v>OK</v>
      </c>
      <c r="L98">
        <v>14</v>
      </c>
      <c r="M98">
        <v>8</v>
      </c>
    </row>
    <row r="99" spans="5:13" x14ac:dyDescent="0.35">
      <c r="E99" t="str">
        <v>Good</v>
      </c>
      <c r="F99" t="str" cm="1">
        <f t="array" ref="F99">IF(AND(tbl_Lifestyle[absences]&gt;15,tbl_Grades[final_grade]&lt;10),"At Risk","OK")</f>
        <v>OK</v>
      </c>
      <c r="L99">
        <v>2</v>
      </c>
      <c r="M99">
        <v>11</v>
      </c>
    </row>
    <row r="100" spans="5:13" x14ac:dyDescent="0.35">
      <c r="E100" t="str">
        <v>Average</v>
      </c>
      <c r="F100" t="str" cm="1">
        <f t="array" ref="F100">IF(AND(tbl_Lifestyle[absences]&gt;15,tbl_Grades[final_grade]&lt;10),"At Risk","OK")</f>
        <v>OK</v>
      </c>
      <c r="L100">
        <v>4</v>
      </c>
      <c r="M100">
        <v>15</v>
      </c>
    </row>
    <row r="101" spans="5:13" x14ac:dyDescent="0.35">
      <c r="E101" t="str">
        <v>Good</v>
      </c>
      <c r="F101" t="str" cm="1">
        <f t="array" ref="F101">IF(AND(tbl_Lifestyle[absences]&gt;15,tbl_Grades[final_grade]&lt;10),"At Risk","OK")</f>
        <v>OK</v>
      </c>
      <c r="L101">
        <v>4</v>
      </c>
      <c r="M101">
        <v>11</v>
      </c>
    </row>
    <row r="102" spans="5:13" x14ac:dyDescent="0.35">
      <c r="E102" t="str">
        <v>Average</v>
      </c>
      <c r="F102" t="str" cm="1">
        <f t="array" ref="F102">IF(AND(tbl_Lifestyle[absences]&gt;15,tbl_Grades[final_grade]&lt;10),"At Risk","OK")</f>
        <v>OK</v>
      </c>
      <c r="L102">
        <v>16</v>
      </c>
      <c r="M102">
        <v>11</v>
      </c>
    </row>
    <row r="103" spans="5:13" x14ac:dyDescent="0.35">
      <c r="E103" t="str">
        <v>Below Average</v>
      </c>
      <c r="F103" t="str" cm="1">
        <f t="array" ref="F103">IF(AND(tbl_Lifestyle[absences]&gt;15,tbl_Grades[final_grade]&lt;10),"At Risk","OK")</f>
        <v>OK</v>
      </c>
      <c r="L103">
        <v>0</v>
      </c>
      <c r="M103">
        <v>12</v>
      </c>
    </row>
    <row r="104" spans="5:13" x14ac:dyDescent="0.35">
      <c r="E104" t="str">
        <v>Excellent</v>
      </c>
      <c r="F104" t="str" cm="1">
        <f t="array" ref="F104">IF(AND(tbl_Lifestyle[absences]&gt;15,tbl_Grades[final_grade]&lt;10),"At Risk","OK")</f>
        <v>OK</v>
      </c>
      <c r="L104">
        <v>0</v>
      </c>
      <c r="M104">
        <v>17</v>
      </c>
    </row>
    <row r="105" spans="5:13" x14ac:dyDescent="0.35">
      <c r="E105" t="str">
        <v>Good</v>
      </c>
      <c r="F105" t="str" cm="1">
        <f t="array" ref="F105">IF(AND(tbl_Lifestyle[absences]&gt;15,tbl_Grades[final_grade]&lt;10),"At Risk","OK")</f>
        <v>OK</v>
      </c>
      <c r="L105">
        <v>0</v>
      </c>
      <c r="M105">
        <v>0</v>
      </c>
    </row>
    <row r="106" spans="5:13" x14ac:dyDescent="0.35">
      <c r="E106" t="str">
        <v>Below Average</v>
      </c>
      <c r="F106" t="str" cm="1">
        <f t="array" ref="F106">IF(AND(tbl_Lifestyle[absences]&gt;15,tbl_Grades[final_grade]&lt;10),"At Risk","OK")</f>
        <v>OK</v>
      </c>
      <c r="L106">
        <v>0</v>
      </c>
      <c r="M106">
        <v>12</v>
      </c>
    </row>
    <row r="107" spans="5:13" x14ac:dyDescent="0.35">
      <c r="E107" t="str">
        <v>Excellent</v>
      </c>
      <c r="F107" t="str" cm="1">
        <f t="array" ref="F107">IF(AND(tbl_Lifestyle[absences]&gt;15,tbl_Grades[final_grade]&lt;10),"At Risk","OK")</f>
        <v>OK</v>
      </c>
      <c r="L107">
        <v>0</v>
      </c>
      <c r="M107">
        <v>15</v>
      </c>
    </row>
    <row r="108" spans="5:13" x14ac:dyDescent="0.35">
      <c r="E108" t="str">
        <v>Average</v>
      </c>
      <c r="F108" t="str" cm="1">
        <f t="array" ref="F108">IF(AND(tbl_Lifestyle[absences]&gt;15,tbl_Grades[final_grade]&lt;10),"At Risk","OK")</f>
        <v>OK</v>
      </c>
      <c r="L108">
        <v>0</v>
      </c>
      <c r="M108">
        <v>6</v>
      </c>
    </row>
    <row r="109" spans="5:13" x14ac:dyDescent="0.35">
      <c r="E109" t="str">
        <v>Average</v>
      </c>
      <c r="F109" t="str" cm="1">
        <f t="array" ref="F109">IF(AND(tbl_Lifestyle[absences]&gt;15,tbl_Grades[final_grade]&lt;10),"At Risk","OK")</f>
        <v>OK</v>
      </c>
      <c r="L109">
        <v>2</v>
      </c>
      <c r="M109">
        <v>18</v>
      </c>
    </row>
    <row r="110" spans="5:13" x14ac:dyDescent="0.35">
      <c r="E110" t="str">
        <v>Excellent</v>
      </c>
      <c r="F110" t="str" cm="1">
        <f t="array" ref="F110">IF(AND(tbl_Lifestyle[absences]&gt;15,tbl_Grades[final_grade]&lt;10),"At Risk","OK")</f>
        <v>OK</v>
      </c>
      <c r="L110">
        <v>7</v>
      </c>
      <c r="M110">
        <v>15</v>
      </c>
    </row>
    <row r="111" spans="5:13" x14ac:dyDescent="0.35">
      <c r="E111" t="str">
        <v>Good</v>
      </c>
      <c r="F111" t="str" cm="1">
        <f t="array" ref="F111">IF(AND(tbl_Lifestyle[absences]&gt;15,tbl_Grades[final_grade]&lt;10),"At Risk","OK")</f>
        <v>OK</v>
      </c>
      <c r="L111">
        <v>2</v>
      </c>
      <c r="M111">
        <v>11</v>
      </c>
    </row>
    <row r="112" spans="5:13" x14ac:dyDescent="0.35">
      <c r="E112" t="str">
        <v>Excellent</v>
      </c>
      <c r="F112" t="str" cm="1">
        <f t="array" ref="F112">IF(AND(tbl_Lifestyle[absences]&gt;15,tbl_Grades[final_grade]&lt;10),"At Risk","OK")</f>
        <v>OK</v>
      </c>
      <c r="L112">
        <v>8</v>
      </c>
      <c r="M112">
        <v>13</v>
      </c>
    </row>
    <row r="113" spans="5:13" x14ac:dyDescent="0.35">
      <c r="E113" t="str">
        <v>Excellent</v>
      </c>
      <c r="F113" t="str" cm="1">
        <f t="array" ref="F113">IF(AND(tbl_Lifestyle[absences]&gt;15,tbl_Grades[final_grade]&lt;10),"At Risk","OK")</f>
        <v>OK</v>
      </c>
      <c r="L113">
        <v>25</v>
      </c>
      <c r="M113">
        <v>11</v>
      </c>
    </row>
    <row r="114" spans="5:13" x14ac:dyDescent="0.35">
      <c r="E114" t="str">
        <v>Average</v>
      </c>
      <c r="F114" t="str" cm="1">
        <f t="array" ref="F114">IF(AND(tbl_Lifestyle[absences]&gt;15,tbl_Grades[final_grade]&lt;10),"At Risk","OK")</f>
        <v>OK</v>
      </c>
      <c r="L114">
        <v>8</v>
      </c>
      <c r="M114">
        <v>12</v>
      </c>
    </row>
    <row r="115" spans="5:13" x14ac:dyDescent="0.35">
      <c r="E115" t="str">
        <v>Good</v>
      </c>
      <c r="F115" t="str" cm="1">
        <f t="array" ref="F115">IF(AND(tbl_Lifestyle[absences]&gt;15,tbl_Grades[final_grade]&lt;10),"At Risk","OK")</f>
        <v>OK</v>
      </c>
      <c r="L115">
        <v>2</v>
      </c>
      <c r="M115">
        <v>18</v>
      </c>
    </row>
    <row r="116" spans="5:13" x14ac:dyDescent="0.35">
      <c r="E116" t="str">
        <v>Excellent</v>
      </c>
      <c r="F116" t="str" cm="1">
        <f t="array" ref="F116">IF(AND(tbl_Lifestyle[absences]&gt;15,tbl_Grades[final_grade]&lt;10),"At Risk","OK")</f>
        <v>OK</v>
      </c>
      <c r="L116">
        <v>0</v>
      </c>
      <c r="M116">
        <v>11</v>
      </c>
    </row>
    <row r="117" spans="5:13" x14ac:dyDescent="0.35">
      <c r="E117" t="str">
        <v>Average</v>
      </c>
      <c r="F117" t="str" cm="1">
        <f t="array" ref="F117">IF(AND(tbl_Lifestyle[absences]&gt;15,tbl_Grades[final_grade]&lt;10),"At Risk","OK")</f>
        <v>OK</v>
      </c>
      <c r="L117">
        <v>14</v>
      </c>
      <c r="M117">
        <v>9</v>
      </c>
    </row>
    <row r="118" spans="5:13" x14ac:dyDescent="0.35">
      <c r="E118" t="str">
        <v>Excellent</v>
      </c>
      <c r="F118" t="str" cm="1">
        <f t="array" ref="F118">IF(AND(tbl_Lifestyle[absences]&gt;15,tbl_Grades[final_grade]&lt;10),"At Risk","OK")</f>
        <v>OK</v>
      </c>
      <c r="L118">
        <v>8</v>
      </c>
      <c r="M118">
        <v>6</v>
      </c>
    </row>
    <row r="119" spans="5:13" x14ac:dyDescent="0.35">
      <c r="E119" t="str">
        <v>Good</v>
      </c>
      <c r="F119" t="str" cm="1">
        <f t="array" ref="F119">IF(AND(tbl_Lifestyle[absences]&gt;15,tbl_Grades[final_grade]&lt;10),"At Risk","OK")</f>
        <v>OK</v>
      </c>
      <c r="L119">
        <v>12</v>
      </c>
      <c r="M119">
        <v>11</v>
      </c>
    </row>
    <row r="120" spans="5:13" x14ac:dyDescent="0.35">
      <c r="E120" t="str">
        <v>Good</v>
      </c>
      <c r="F120" t="str" cm="1">
        <f t="array" ref="F120">IF(AND(tbl_Lifestyle[absences]&gt;15,tbl_Grades[final_grade]&lt;10),"At Risk","OK")</f>
        <v>OK</v>
      </c>
      <c r="L120">
        <v>4</v>
      </c>
      <c r="M120">
        <v>20</v>
      </c>
    </row>
    <row r="121" spans="5:13" x14ac:dyDescent="0.35">
      <c r="E121" t="str">
        <v>Average</v>
      </c>
      <c r="F121" t="str" cm="1">
        <f t="array" ref="F121">IF(AND(tbl_Lifestyle[absences]&gt;15,tbl_Grades[final_grade]&lt;10),"At Risk","OK")</f>
        <v>OK</v>
      </c>
      <c r="L121">
        <v>2</v>
      </c>
      <c r="M121">
        <v>14</v>
      </c>
    </row>
    <row r="122" spans="5:13" x14ac:dyDescent="0.35">
      <c r="E122" t="str">
        <v>Good</v>
      </c>
      <c r="F122" t="str" cm="1">
        <f t="array" ref="F122">IF(AND(tbl_Lifestyle[absences]&gt;15,tbl_Grades[final_grade]&lt;10),"At Risk","OK")</f>
        <v>OK</v>
      </c>
      <c r="L122">
        <v>2</v>
      </c>
      <c r="M122">
        <v>7</v>
      </c>
    </row>
    <row r="123" spans="5:13" x14ac:dyDescent="0.35">
      <c r="E123" t="str">
        <v>Good</v>
      </c>
      <c r="F123" t="str" cm="1">
        <f t="array" ref="F123">IF(AND(tbl_Lifestyle[absences]&gt;15,tbl_Grades[final_grade]&lt;10),"At Risk","OK")</f>
        <v>OK</v>
      </c>
      <c r="L123">
        <v>2</v>
      </c>
      <c r="M123">
        <v>13</v>
      </c>
    </row>
    <row r="124" spans="5:13" x14ac:dyDescent="0.35">
      <c r="E124" t="str">
        <v>Good</v>
      </c>
      <c r="F124" t="str" cm="1">
        <f t="array" ref="F124">IF(AND(tbl_Lifestyle[absences]&gt;15,tbl_Grades[final_grade]&lt;10),"At Risk","OK")</f>
        <v>OK</v>
      </c>
      <c r="L124">
        <v>2</v>
      </c>
      <c r="M124">
        <v>13</v>
      </c>
    </row>
    <row r="125" spans="5:13" x14ac:dyDescent="0.35">
      <c r="E125" t="str">
        <v>Good</v>
      </c>
      <c r="F125" t="str" cm="1">
        <f t="array" ref="F125">IF(AND(tbl_Lifestyle[absences]&gt;15,tbl_Grades[final_grade]&lt;10),"At Risk","OK")</f>
        <v>OK</v>
      </c>
      <c r="L125">
        <v>6</v>
      </c>
      <c r="M125">
        <v>10</v>
      </c>
    </row>
    <row r="126" spans="5:13" x14ac:dyDescent="0.35">
      <c r="E126" t="str">
        <v>Good</v>
      </c>
      <c r="F126" t="str" cm="1">
        <f t="array" ref="F126">IF(AND(tbl_Lifestyle[absences]&gt;15,tbl_Grades[final_grade]&lt;10),"At Risk","OK")</f>
        <v>OK</v>
      </c>
      <c r="L126">
        <v>0</v>
      </c>
      <c r="M126">
        <v>11</v>
      </c>
    </row>
    <row r="127" spans="5:13" x14ac:dyDescent="0.35">
      <c r="E127" t="str">
        <v>Average</v>
      </c>
      <c r="F127" t="str" cm="1">
        <f t="array" ref="F127">IF(AND(tbl_Lifestyle[absences]&gt;15,tbl_Grades[final_grade]&lt;10),"At Risk","OK")</f>
        <v>OK</v>
      </c>
      <c r="L127">
        <v>6</v>
      </c>
      <c r="M127">
        <v>13</v>
      </c>
    </row>
    <row r="128" spans="5:13" x14ac:dyDescent="0.35">
      <c r="E128" t="str">
        <v>Average</v>
      </c>
      <c r="F128" t="str" cm="1">
        <f t="array" ref="F128">IF(AND(tbl_Lifestyle[absences]&gt;15,tbl_Grades[final_grade]&lt;10),"At Risk","OK")</f>
        <v>OK</v>
      </c>
      <c r="L128">
        <v>8</v>
      </c>
      <c r="M128">
        <v>10</v>
      </c>
    </row>
    <row r="129" spans="5:13" x14ac:dyDescent="0.35">
      <c r="E129" t="str">
        <v>Average</v>
      </c>
      <c r="F129" t="str" cm="1">
        <f t="array" ref="F129">IF(AND(tbl_Lifestyle[absences]&gt;15,tbl_Grades[final_grade]&lt;10),"At Risk","OK")</f>
        <v>OK</v>
      </c>
      <c r="L129">
        <v>0</v>
      </c>
      <c r="M129">
        <v>15</v>
      </c>
    </row>
    <row r="130" spans="5:13" x14ac:dyDescent="0.35">
      <c r="E130" t="str">
        <v>Average</v>
      </c>
      <c r="F130" t="str" cm="1">
        <f t="array" ref="F130">IF(AND(tbl_Lifestyle[absences]&gt;15,tbl_Grades[final_grade]&lt;10),"At Risk","OK")</f>
        <v>OK</v>
      </c>
      <c r="L130">
        <v>4</v>
      </c>
      <c r="M130">
        <v>15</v>
      </c>
    </row>
    <row r="131" spans="5:13" x14ac:dyDescent="0.35">
      <c r="E131" t="str">
        <v>Below Average</v>
      </c>
      <c r="F131" t="str" cm="1">
        <f t="array" ref="F131">IF(AND(tbl_Lifestyle[absences]&gt;15,tbl_Grades[final_grade]&lt;10),"At Risk","OK")</f>
        <v>OK</v>
      </c>
      <c r="L131">
        <v>2</v>
      </c>
      <c r="M131">
        <v>9</v>
      </c>
    </row>
    <row r="132" spans="5:13" x14ac:dyDescent="0.35">
      <c r="E132" t="str">
        <v>Excellent</v>
      </c>
      <c r="F132" t="str" cm="1">
        <f t="array" ref="F132">IF(AND(tbl_Lifestyle[absences]&gt;15,tbl_Grades[final_grade]&lt;10),"At Risk","OK")</f>
        <v>OK</v>
      </c>
      <c r="L132">
        <v>2</v>
      </c>
      <c r="M132">
        <v>16</v>
      </c>
    </row>
    <row r="133" spans="5:13" x14ac:dyDescent="0.35">
      <c r="E133" t="str">
        <v>Below Average</v>
      </c>
      <c r="F133" t="str" cm="1">
        <f t="array" ref="F133">IF(AND(tbl_Lifestyle[absences]&gt;15,tbl_Grades[final_grade]&lt;10),"At Risk","OK")</f>
        <v>OK</v>
      </c>
      <c r="L133">
        <v>6</v>
      </c>
      <c r="M133">
        <v>11</v>
      </c>
    </row>
    <row r="134" spans="5:13" x14ac:dyDescent="0.35">
      <c r="E134" t="str">
        <v>Below Average</v>
      </c>
      <c r="F134" t="str" cm="1">
        <f t="array" ref="F134">IF(AND(tbl_Lifestyle[absences]&gt;15,tbl_Grades[final_grade]&lt;10),"At Risk","OK")</f>
        <v>OK</v>
      </c>
      <c r="L134">
        <v>6</v>
      </c>
      <c r="M134">
        <v>11</v>
      </c>
    </row>
    <row r="135" spans="5:13" x14ac:dyDescent="0.35">
      <c r="E135" t="str">
        <v>Average</v>
      </c>
      <c r="F135" t="str" cm="1">
        <f t="array" ref="F135">IF(AND(tbl_Lifestyle[absences]&gt;15,tbl_Grades[final_grade]&lt;10),"At Risk","OK")</f>
        <v>OK</v>
      </c>
      <c r="L135">
        <v>4</v>
      </c>
      <c r="M135">
        <v>9</v>
      </c>
    </row>
    <row r="136" spans="5:13" x14ac:dyDescent="0.35">
      <c r="E136" t="str">
        <v>Average</v>
      </c>
      <c r="F136" t="str" cm="1">
        <f t="array" ref="F136">IF(AND(tbl_Lifestyle[absences]&gt;15,tbl_Grades[final_grade]&lt;10),"At Risk","OK")</f>
        <v>OK</v>
      </c>
      <c r="L136">
        <v>2</v>
      </c>
      <c r="M136">
        <v>9</v>
      </c>
    </row>
    <row r="137" spans="5:13" x14ac:dyDescent="0.35">
      <c r="E137" t="str">
        <v>Below Average</v>
      </c>
      <c r="F137" t="str" cm="1">
        <f t="array" ref="F137">IF(AND(tbl_Lifestyle[absences]&gt;15,tbl_Grades[final_grade]&lt;10),"At Risk","OK")</f>
        <v>OK</v>
      </c>
      <c r="L137">
        <v>0</v>
      </c>
      <c r="M137">
        <v>10</v>
      </c>
    </row>
    <row r="138" spans="5:13" x14ac:dyDescent="0.35">
      <c r="E138" t="str">
        <v>Below Average</v>
      </c>
      <c r="F138" t="str" cm="1">
        <f t="array" ref="F138">IF(AND(tbl_Lifestyle[absences]&gt;15,tbl_Grades[final_grade]&lt;10),"At Risk","OK")</f>
        <v>OK</v>
      </c>
      <c r="L138">
        <v>2</v>
      </c>
      <c r="M138">
        <v>15</v>
      </c>
    </row>
    <row r="139" spans="5:13" x14ac:dyDescent="0.35">
      <c r="E139" t="str">
        <v>Below Average</v>
      </c>
      <c r="F139" t="str" cm="1">
        <f t="array" ref="F139">IF(AND(tbl_Lifestyle[absences]&gt;15,tbl_Grades[final_grade]&lt;10),"At Risk","OK")</f>
        <v>OK</v>
      </c>
      <c r="L139">
        <v>4</v>
      </c>
      <c r="M139">
        <v>12</v>
      </c>
    </row>
    <row r="140" spans="5:13" x14ac:dyDescent="0.35">
      <c r="E140" t="str">
        <v>Below Average</v>
      </c>
      <c r="F140" t="str" cm="1">
        <f t="array" ref="F140">IF(AND(tbl_Lifestyle[absences]&gt;15,tbl_Grades[final_grade]&lt;10),"At Risk","OK")</f>
        <v>OK</v>
      </c>
      <c r="L140">
        <v>4</v>
      </c>
      <c r="M140">
        <v>6</v>
      </c>
    </row>
    <row r="141" spans="5:13" x14ac:dyDescent="0.35">
      <c r="E141" t="str">
        <v>Average</v>
      </c>
      <c r="F141" t="str" cm="1">
        <f t="array" ref="F141">IF(AND(tbl_Lifestyle[absences]&gt;15,tbl_Grades[final_grade]&lt;10),"At Risk","OK")</f>
        <v>OK</v>
      </c>
      <c r="L141">
        <v>2</v>
      </c>
      <c r="M141">
        <v>8</v>
      </c>
    </row>
    <row r="142" spans="5:13" x14ac:dyDescent="0.35">
      <c r="E142" t="str">
        <v>Good</v>
      </c>
      <c r="F142" t="str" cm="1">
        <f t="array" ref="F142">IF(AND(tbl_Lifestyle[absences]&gt;15,tbl_Grades[final_grade]&lt;10),"At Risk","OK")</f>
        <v>OK</v>
      </c>
      <c r="L142">
        <v>12</v>
      </c>
      <c r="M142">
        <v>16</v>
      </c>
    </row>
    <row r="143" spans="5:13" x14ac:dyDescent="0.35">
      <c r="E143" t="str">
        <v>Below Average</v>
      </c>
      <c r="F143" t="str" cm="1">
        <f t="array" ref="F143">IF(AND(tbl_Lifestyle[absences]&gt;15,tbl_Grades[final_grade]&lt;10),"At Risk","OK")</f>
        <v>OK</v>
      </c>
      <c r="L143">
        <v>0</v>
      </c>
      <c r="M143">
        <v>15</v>
      </c>
    </row>
    <row r="144" spans="5:13" x14ac:dyDescent="0.35">
      <c r="E144" t="str">
        <v>Average</v>
      </c>
      <c r="F144" t="str" cm="1">
        <f t="array" ref="F144">IF(AND(tbl_Lifestyle[absences]&gt;15,tbl_Grades[final_grade]&lt;10),"At Risk","OK")</f>
        <v>OK</v>
      </c>
      <c r="L144">
        <v>0</v>
      </c>
      <c r="M144">
        <v>10</v>
      </c>
    </row>
    <row r="145" spans="5:13" x14ac:dyDescent="0.35">
      <c r="E145" t="str">
        <v>Average</v>
      </c>
      <c r="F145" t="str" cm="1">
        <f t="array" ref="F145">IF(AND(tbl_Lifestyle[absences]&gt;15,tbl_Grades[final_grade]&lt;10),"At Risk","OK")</f>
        <v>OK</v>
      </c>
      <c r="L145">
        <v>2</v>
      </c>
      <c r="M145">
        <v>5</v>
      </c>
    </row>
    <row r="146" spans="5:13" x14ac:dyDescent="0.35">
      <c r="E146" t="str">
        <v>Good</v>
      </c>
      <c r="F146" t="str" cm="1">
        <f t="array" ref="F146">IF(AND(tbl_Lifestyle[absences]&gt;15,tbl_Grades[final_grade]&lt;10),"At Risk","OK")</f>
        <v>OK</v>
      </c>
      <c r="L146">
        <v>2</v>
      </c>
      <c r="M146">
        <v>14</v>
      </c>
    </row>
    <row r="147" spans="5:13" x14ac:dyDescent="0.35">
      <c r="E147" t="str">
        <v>Below Average</v>
      </c>
      <c r="F147" t="str" cm="1">
        <f t="array" ref="F147">IF(AND(tbl_Lifestyle[absences]&gt;15,tbl_Grades[final_grade]&lt;10),"At Risk","OK")</f>
        <v>OK</v>
      </c>
      <c r="L147">
        <v>54</v>
      </c>
      <c r="M147">
        <v>11</v>
      </c>
    </row>
    <row r="148" spans="5:13" x14ac:dyDescent="0.35">
      <c r="E148" t="str">
        <v>Average</v>
      </c>
      <c r="F148" t="str" cm="1">
        <f t="array" ref="F148">IF(AND(tbl_Lifestyle[absences]&gt;15,tbl_Grades[final_grade]&lt;10),"At Risk","OK")</f>
        <v>OK</v>
      </c>
      <c r="L148">
        <v>6</v>
      </c>
      <c r="M148">
        <v>10</v>
      </c>
    </row>
    <row r="149" spans="5:13" x14ac:dyDescent="0.35">
      <c r="E149" t="str">
        <v>Below Average</v>
      </c>
      <c r="F149" t="str" cm="1">
        <f t="array" ref="F149">IF(AND(tbl_Lifestyle[absences]&gt;15,tbl_Grades[final_grade]&lt;10),"At Risk","OK")</f>
        <v>OK</v>
      </c>
      <c r="L149">
        <v>8</v>
      </c>
      <c r="M149">
        <v>10</v>
      </c>
    </row>
    <row r="150" spans="5:13" x14ac:dyDescent="0.35">
      <c r="E150" t="str">
        <v>Average</v>
      </c>
      <c r="F150" t="str" cm="1">
        <f t="array" ref="F150">IF(AND(tbl_Lifestyle[absences]&gt;15,tbl_Grades[final_grade]&lt;10),"At Risk","OK")</f>
        <v>OK</v>
      </c>
      <c r="L150">
        <v>0</v>
      </c>
      <c r="M150">
        <v>11</v>
      </c>
    </row>
    <row r="151" spans="5:13" x14ac:dyDescent="0.35">
      <c r="E151" t="str">
        <v>Below Average</v>
      </c>
      <c r="F151" t="str" cm="1">
        <f t="array" ref="F151">IF(AND(tbl_Lifestyle[absences]&gt;15,tbl_Grades[final_grade]&lt;10),"At Risk","OK")</f>
        <v>OK</v>
      </c>
      <c r="L151">
        <v>2</v>
      </c>
      <c r="M151">
        <v>10</v>
      </c>
    </row>
    <row r="152" spans="5:13" x14ac:dyDescent="0.35">
      <c r="E152" t="str">
        <v>Average</v>
      </c>
      <c r="F152" t="str" cm="1">
        <f t="array" ref="F152">IF(AND(tbl_Lifestyle[absences]&gt;15,tbl_Grades[final_grade]&lt;10),"At Risk","OK")</f>
        <v>OK</v>
      </c>
      <c r="L152">
        <v>12</v>
      </c>
      <c r="M152">
        <v>5</v>
      </c>
    </row>
    <row r="153" spans="5:13" x14ac:dyDescent="0.35">
      <c r="E153" t="str">
        <v>Below Average</v>
      </c>
      <c r="F153" t="str" cm="1">
        <f t="array" ref="F153">IF(AND(tbl_Lifestyle[absences]&gt;15,tbl_Grades[final_grade]&lt;10),"At Risk","OK")</f>
        <v>OK</v>
      </c>
      <c r="L153">
        <v>2</v>
      </c>
      <c r="M153">
        <v>12</v>
      </c>
    </row>
    <row r="154" spans="5:13" x14ac:dyDescent="0.35">
      <c r="E154" t="str">
        <v>Good</v>
      </c>
      <c r="F154" t="str" cm="1">
        <f t="array" ref="F154">IF(AND(tbl_Lifestyle[absences]&gt;15,tbl_Grades[final_grade]&lt;10),"At Risk","OK")</f>
        <v>OK</v>
      </c>
      <c r="L154">
        <v>4</v>
      </c>
      <c r="M154">
        <v>11</v>
      </c>
    </row>
    <row r="155" spans="5:13" x14ac:dyDescent="0.35">
      <c r="E155" t="str">
        <v>Average</v>
      </c>
      <c r="F155" t="str" cm="1">
        <f t="array" ref="F155">IF(AND(tbl_Lifestyle[absences]&gt;15,tbl_Grades[final_grade]&lt;10),"At Risk","OK")</f>
        <v>OK</v>
      </c>
      <c r="L155">
        <v>10</v>
      </c>
      <c r="M155">
        <v>6</v>
      </c>
    </row>
    <row r="156" spans="5:13" x14ac:dyDescent="0.35">
      <c r="E156" t="str">
        <v>Below Average</v>
      </c>
      <c r="F156" t="str" cm="1">
        <f t="array" ref="F156">IF(AND(tbl_Lifestyle[absences]&gt;15,tbl_Grades[final_grade]&lt;10),"At Risk","OK")</f>
        <v>OK</v>
      </c>
      <c r="L156">
        <v>4</v>
      </c>
      <c r="M156">
        <v>15</v>
      </c>
    </row>
    <row r="157" spans="5:13" x14ac:dyDescent="0.35">
      <c r="E157" t="str">
        <v>Average</v>
      </c>
      <c r="F157" t="str" cm="1">
        <f t="array" ref="F157">IF(AND(tbl_Lifestyle[absences]&gt;15,tbl_Grades[final_grade]&lt;10),"At Risk","OK")</f>
        <v>OK</v>
      </c>
      <c r="L157">
        <v>2</v>
      </c>
      <c r="M157">
        <v>9.5</v>
      </c>
    </row>
    <row r="158" spans="5:13" x14ac:dyDescent="0.35">
      <c r="E158" t="str">
        <v>Average</v>
      </c>
      <c r="F158" t="str" cm="1">
        <f t="array" ref="F158">IF(AND(tbl_Lifestyle[absences]&gt;15,tbl_Grades[final_grade]&lt;10),"At Risk","OK")</f>
        <v>OK</v>
      </c>
      <c r="L158">
        <v>6</v>
      </c>
      <c r="M158">
        <v>8</v>
      </c>
    </row>
    <row r="159" spans="5:13" x14ac:dyDescent="0.35">
      <c r="E159" t="str">
        <v>Good</v>
      </c>
      <c r="F159" t="str" cm="1">
        <f t="array" ref="F159">IF(AND(tbl_Lifestyle[absences]&gt;15,tbl_Grades[final_grade]&lt;10),"At Risk","OK")</f>
        <v>OK</v>
      </c>
      <c r="L159">
        <v>4</v>
      </c>
      <c r="M159">
        <v>6</v>
      </c>
    </row>
    <row r="160" spans="5:13" x14ac:dyDescent="0.35">
      <c r="E160" t="str">
        <v>Average</v>
      </c>
      <c r="F160" t="str" cm="1">
        <f t="array" ref="F160">IF(AND(tbl_Lifestyle[absences]&gt;15,tbl_Grades[final_grade]&lt;10),"At Risk","OK")</f>
        <v>OK</v>
      </c>
      <c r="L160">
        <v>4</v>
      </c>
      <c r="M160">
        <v>14</v>
      </c>
    </row>
    <row r="161" spans="5:13" x14ac:dyDescent="0.35">
      <c r="E161" t="str">
        <v>Good</v>
      </c>
      <c r="F161" t="str" cm="1">
        <f t="array" ref="F161">IF(AND(tbl_Lifestyle[absences]&gt;15,tbl_Grades[final_grade]&lt;10),"At Risk","OK")</f>
        <v>OK</v>
      </c>
      <c r="L161">
        <v>12</v>
      </c>
      <c r="M161">
        <v>10</v>
      </c>
    </row>
    <row r="162" spans="5:13" x14ac:dyDescent="0.35">
      <c r="E162" t="str">
        <v>Average</v>
      </c>
      <c r="F162" t="str" cm="1">
        <f t="array" ref="F162">IF(AND(tbl_Lifestyle[absences]&gt;15,tbl_Grades[final_grade]&lt;10),"At Risk","OK")</f>
        <v>OK</v>
      </c>
      <c r="L162">
        <v>18</v>
      </c>
      <c r="M162">
        <v>7</v>
      </c>
    </row>
    <row r="163" spans="5:13" x14ac:dyDescent="0.35">
      <c r="E163" t="str">
        <v>Below Average</v>
      </c>
      <c r="F163" t="str" cm="1">
        <f t="array" ref="F163">IF(AND(tbl_Lifestyle[absences]&gt;15,tbl_Grades[final_grade]&lt;10),"At Risk","OK")</f>
        <v>OK</v>
      </c>
      <c r="L163">
        <v>0</v>
      </c>
      <c r="M163">
        <v>8</v>
      </c>
    </row>
    <row r="164" spans="5:13" x14ac:dyDescent="0.35">
      <c r="E164" t="str">
        <v>Below Average</v>
      </c>
      <c r="F164" t="str" cm="1">
        <f t="array" ref="F164">IF(AND(tbl_Lifestyle[absences]&gt;15,tbl_Grades[final_grade]&lt;10),"At Risk","OK")</f>
        <v>OK</v>
      </c>
      <c r="L164">
        <v>4</v>
      </c>
      <c r="M164">
        <v>18</v>
      </c>
    </row>
    <row r="165" spans="5:13" x14ac:dyDescent="0.35">
      <c r="E165" t="str">
        <v>Below Average</v>
      </c>
      <c r="F165" t="str" cm="1">
        <f t="array" ref="F165">IF(AND(tbl_Lifestyle[absences]&gt;15,tbl_Grades[final_grade]&lt;10),"At Risk","OK")</f>
        <v>OK</v>
      </c>
      <c r="L165">
        <v>4</v>
      </c>
      <c r="M165">
        <v>6</v>
      </c>
    </row>
    <row r="166" spans="5:13" x14ac:dyDescent="0.35">
      <c r="E166" t="str">
        <v>Average</v>
      </c>
      <c r="F166" t="str" cm="1">
        <f t="array" ref="F166">IF(AND(tbl_Lifestyle[absences]&gt;15,tbl_Grades[final_grade]&lt;10),"At Risk","OK")</f>
        <v>OK</v>
      </c>
      <c r="L166">
        <v>0</v>
      </c>
      <c r="M166">
        <v>10</v>
      </c>
    </row>
    <row r="167" spans="5:13" x14ac:dyDescent="0.35">
      <c r="E167" t="str">
        <v>Below Average</v>
      </c>
      <c r="F167" t="str" cm="1">
        <f t="array" ref="F167">IF(AND(tbl_Lifestyle[absences]&gt;15,tbl_Grades[final_grade]&lt;10),"At Risk","OK")</f>
        <v>OK</v>
      </c>
      <c r="L167">
        <v>6</v>
      </c>
      <c r="M167">
        <v>14</v>
      </c>
    </row>
    <row r="168" spans="5:13" x14ac:dyDescent="0.35">
      <c r="E168" t="str">
        <v>Average</v>
      </c>
      <c r="F168" t="str" cm="1">
        <f t="array" ref="F168">IF(AND(tbl_Lifestyle[absences]&gt;15,tbl_Grades[final_grade]&lt;10),"At Risk","OK")</f>
        <v>OK</v>
      </c>
      <c r="L168">
        <v>2</v>
      </c>
      <c r="M168">
        <v>10</v>
      </c>
    </row>
    <row r="169" spans="5:13" x14ac:dyDescent="0.35">
      <c r="E169" t="str">
        <v>Average</v>
      </c>
      <c r="F169" t="str" cm="1">
        <f t="array" ref="F169">IF(AND(tbl_Lifestyle[absences]&gt;15,tbl_Grades[final_grade]&lt;10),"At Risk","OK")</f>
        <v>OK</v>
      </c>
      <c r="L169">
        <v>2</v>
      </c>
      <c r="M169">
        <v>15</v>
      </c>
    </row>
    <row r="170" spans="5:13" x14ac:dyDescent="0.35">
      <c r="E170" t="str">
        <v>Excellent</v>
      </c>
      <c r="F170" t="str" cm="1">
        <f t="array" ref="F170">IF(AND(tbl_Lifestyle[absences]&gt;15,tbl_Grades[final_grade]&lt;10),"At Risk","OK")</f>
        <v>OK</v>
      </c>
      <c r="L170">
        <v>2</v>
      </c>
      <c r="M170">
        <v>10</v>
      </c>
    </row>
    <row r="171" spans="5:13" x14ac:dyDescent="0.35">
      <c r="E171" t="str">
        <v>Below Average</v>
      </c>
      <c r="F171" t="str" cm="1">
        <f t="array" ref="F171">IF(AND(tbl_Lifestyle[absences]&gt;15,tbl_Grades[final_grade]&lt;10),"At Risk","OK")</f>
        <v>OK</v>
      </c>
      <c r="L171">
        <v>6</v>
      </c>
      <c r="M171">
        <v>14</v>
      </c>
    </row>
    <row r="172" spans="5:13" x14ac:dyDescent="0.35">
      <c r="E172" t="str">
        <v>Good</v>
      </c>
      <c r="F172" t="str" cm="1">
        <f t="array" ref="F172">IF(AND(tbl_Lifestyle[absences]&gt;15,tbl_Grades[final_grade]&lt;10),"At Risk","OK")</f>
        <v>OK</v>
      </c>
      <c r="L172">
        <v>0</v>
      </c>
      <c r="M172">
        <v>8</v>
      </c>
    </row>
    <row r="173" spans="5:13" x14ac:dyDescent="0.35">
      <c r="E173" t="str">
        <v>Below Average</v>
      </c>
      <c r="F173" t="str" cm="1">
        <f t="array" ref="F173">IF(AND(tbl_Lifestyle[absences]&gt;15,tbl_Grades[final_grade]&lt;10),"At Risk","OK")</f>
        <v>OK</v>
      </c>
      <c r="L173">
        <v>14</v>
      </c>
      <c r="M173">
        <v>5</v>
      </c>
    </row>
    <row r="174" spans="5:13" x14ac:dyDescent="0.35">
      <c r="E174" t="str">
        <v>Excellent</v>
      </c>
      <c r="F174" t="str" cm="1">
        <f t="array" ref="F174">IF(AND(tbl_Lifestyle[absences]&gt;15,tbl_Grades[final_grade]&lt;10),"At Risk","OK")</f>
        <v>OK</v>
      </c>
      <c r="L174">
        <v>0</v>
      </c>
      <c r="M174">
        <v>17</v>
      </c>
    </row>
    <row r="175" spans="5:13" x14ac:dyDescent="0.35">
      <c r="E175" t="str">
        <v>Average</v>
      </c>
      <c r="F175" t="str" cm="1">
        <f t="array" ref="F175">IF(AND(tbl_Lifestyle[absences]&gt;15,tbl_Grades[final_grade]&lt;10),"At Risk","OK")</f>
        <v>OK</v>
      </c>
      <c r="L175">
        <v>4</v>
      </c>
      <c r="M175">
        <v>14</v>
      </c>
    </row>
    <row r="176" spans="5:13" x14ac:dyDescent="0.35">
      <c r="E176" t="str">
        <v>Below Average</v>
      </c>
      <c r="F176" t="str" cm="1">
        <f t="array" ref="F176">IF(AND(tbl_Lifestyle[absences]&gt;15,tbl_Grades[final_grade]&lt;10),"At Risk","OK")</f>
        <v>OK</v>
      </c>
      <c r="L176">
        <v>26</v>
      </c>
      <c r="M176">
        <v>6</v>
      </c>
    </row>
    <row r="177" spans="5:13" x14ac:dyDescent="0.35">
      <c r="E177" t="str">
        <v>Average</v>
      </c>
      <c r="F177" t="str" cm="1">
        <f t="array" ref="F177">IF(AND(tbl_Lifestyle[absences]&gt;15,tbl_Grades[final_grade]&lt;10),"At Risk","OK")</f>
        <v>OK</v>
      </c>
      <c r="L177">
        <v>0</v>
      </c>
      <c r="M177">
        <v>18</v>
      </c>
    </row>
    <row r="178" spans="5:13" x14ac:dyDescent="0.35">
      <c r="E178" t="str">
        <v>Average</v>
      </c>
      <c r="F178" t="str" cm="1">
        <f t="array" ref="F178">IF(AND(tbl_Lifestyle[absences]&gt;15,tbl_Grades[final_grade]&lt;10),"At Risk","OK")</f>
        <v>OK</v>
      </c>
      <c r="L178">
        <v>10</v>
      </c>
      <c r="M178">
        <v>11</v>
      </c>
    </row>
    <row r="179" spans="5:13" x14ac:dyDescent="0.35">
      <c r="E179" t="str">
        <v>Average</v>
      </c>
      <c r="F179" t="str" cm="1">
        <f t="array" ref="F179">IF(AND(tbl_Lifestyle[absences]&gt;15,tbl_Grades[final_grade]&lt;10),"At Risk","OK")</f>
        <v>OK</v>
      </c>
      <c r="L179">
        <v>8</v>
      </c>
      <c r="M179">
        <v>8</v>
      </c>
    </row>
    <row r="180" spans="5:13" x14ac:dyDescent="0.35">
      <c r="E180" t="str">
        <v>Below Average</v>
      </c>
      <c r="F180" t="str" cm="1">
        <f t="array" ref="F180">IF(AND(tbl_Lifestyle[absences]&gt;15,tbl_Grades[final_grade]&lt;10),"At Risk","OK")</f>
        <v>OK</v>
      </c>
      <c r="L180">
        <v>2</v>
      </c>
      <c r="M180">
        <v>18</v>
      </c>
    </row>
    <row r="181" spans="5:13" x14ac:dyDescent="0.35">
      <c r="E181" t="str">
        <v>Average</v>
      </c>
      <c r="F181" t="str" cm="1">
        <f t="array" ref="F181">IF(AND(tbl_Lifestyle[absences]&gt;15,tbl_Grades[final_grade]&lt;10),"At Risk","OK")</f>
        <v>OK</v>
      </c>
      <c r="L181">
        <v>6</v>
      </c>
      <c r="M181">
        <v>13</v>
      </c>
    </row>
    <row r="182" spans="5:13" x14ac:dyDescent="0.35">
      <c r="E182" t="str">
        <v>Average</v>
      </c>
      <c r="F182" t="str" cm="1">
        <f t="array" ref="F182">IF(AND(tbl_Lifestyle[absences]&gt;15,tbl_Grades[final_grade]&lt;10),"At Risk","OK")</f>
        <v>OK</v>
      </c>
      <c r="L182">
        <v>4</v>
      </c>
      <c r="M182">
        <v>16</v>
      </c>
    </row>
    <row r="183" spans="5:13" x14ac:dyDescent="0.35">
      <c r="E183" t="str">
        <v>Average</v>
      </c>
      <c r="F183" t="str" cm="1">
        <f t="array" ref="F183">IF(AND(tbl_Lifestyle[absences]&gt;15,tbl_Grades[final_grade]&lt;10),"At Risk","OK")</f>
        <v>OK</v>
      </c>
      <c r="L183">
        <v>6</v>
      </c>
      <c r="M183">
        <v>19</v>
      </c>
    </row>
    <row r="184" spans="5:13" x14ac:dyDescent="0.35">
      <c r="E184" t="str">
        <v>Average</v>
      </c>
      <c r="F184" t="str" cm="1">
        <f t="array" ref="F184">IF(AND(tbl_Lifestyle[absences]&gt;15,tbl_Grades[final_grade]&lt;10),"At Risk","OK")</f>
        <v>OK</v>
      </c>
      <c r="L184">
        <v>0</v>
      </c>
      <c r="M184">
        <v>10</v>
      </c>
    </row>
    <row r="185" spans="5:13" x14ac:dyDescent="0.35">
      <c r="E185" t="str">
        <v>Excellent</v>
      </c>
      <c r="F185" t="str" cm="1">
        <f t="array" ref="F185">IF(AND(tbl_Lifestyle[absences]&gt;15,tbl_Grades[final_grade]&lt;10),"At Risk","OK")</f>
        <v>OK</v>
      </c>
      <c r="L185">
        <v>6</v>
      </c>
      <c r="M185">
        <v>13</v>
      </c>
    </row>
    <row r="186" spans="5:13" x14ac:dyDescent="0.35">
      <c r="E186" t="str">
        <v>Average</v>
      </c>
      <c r="F186" t="str" cm="1">
        <f t="array" ref="F186">IF(AND(tbl_Lifestyle[absences]&gt;15,tbl_Grades[final_grade]&lt;10),"At Risk","OK")</f>
        <v>OK</v>
      </c>
      <c r="L186">
        <v>10</v>
      </c>
      <c r="M186">
        <v>19</v>
      </c>
    </row>
    <row r="187" spans="5:13" x14ac:dyDescent="0.35">
      <c r="E187" t="str">
        <v>Average</v>
      </c>
      <c r="F187" t="str" cm="1">
        <f t="array" ref="F187">IF(AND(tbl_Lifestyle[absences]&gt;15,tbl_Grades[final_grade]&lt;10),"At Risk","OK")</f>
        <v>OK</v>
      </c>
      <c r="L187">
        <v>8</v>
      </c>
      <c r="M187">
        <v>9</v>
      </c>
    </row>
    <row r="188" spans="5:13" x14ac:dyDescent="0.35">
      <c r="E188" t="str">
        <v>Average</v>
      </c>
      <c r="F188" t="str" cm="1">
        <f t="array" ref="F188">IF(AND(tbl_Lifestyle[absences]&gt;15,tbl_Grades[final_grade]&lt;10),"At Risk","OK")</f>
        <v>OK</v>
      </c>
      <c r="L188">
        <v>2</v>
      </c>
      <c r="M188">
        <v>16</v>
      </c>
    </row>
    <row r="189" spans="5:13" x14ac:dyDescent="0.35">
      <c r="E189" t="str">
        <v>Average</v>
      </c>
      <c r="F189" t="str" cm="1">
        <f t="array" ref="F189">IF(AND(tbl_Lifestyle[absences]&gt;15,tbl_Grades[final_grade]&lt;10),"At Risk","OK")</f>
        <v>OK</v>
      </c>
      <c r="L189">
        <v>2</v>
      </c>
      <c r="M189">
        <v>14</v>
      </c>
    </row>
    <row r="190" spans="5:13" x14ac:dyDescent="0.35">
      <c r="E190" t="str">
        <v>Good</v>
      </c>
      <c r="F190" t="str" cm="1">
        <f t="array" ref="F190">IF(AND(tbl_Lifestyle[absences]&gt;15,tbl_Grades[final_grade]&lt;10),"At Risk","OK")</f>
        <v>OK</v>
      </c>
      <c r="L190">
        <v>0</v>
      </c>
      <c r="M190">
        <v>13</v>
      </c>
    </row>
    <row r="191" spans="5:13" x14ac:dyDescent="0.35">
      <c r="E191" t="str">
        <v>Average</v>
      </c>
      <c r="F191" t="str" cm="1">
        <f t="array" ref="F191">IF(AND(tbl_Lifestyle[absences]&gt;15,tbl_Grades[final_grade]&lt;10),"At Risk","OK")</f>
        <v>OK</v>
      </c>
      <c r="L191">
        <v>20</v>
      </c>
      <c r="M191">
        <v>8</v>
      </c>
    </row>
    <row r="192" spans="5:13" x14ac:dyDescent="0.35">
      <c r="E192" t="str">
        <v>Average</v>
      </c>
      <c r="F192" t="str" cm="1">
        <f t="array" ref="F192">IF(AND(tbl_Lifestyle[absences]&gt;15,tbl_Grades[final_grade]&lt;10),"At Risk","OK")</f>
        <v>OK</v>
      </c>
      <c r="L192">
        <v>6</v>
      </c>
      <c r="M192">
        <v>13</v>
      </c>
    </row>
    <row r="193" spans="5:13" x14ac:dyDescent="0.35">
      <c r="E193" t="str">
        <v>Good</v>
      </c>
      <c r="F193" t="str" cm="1">
        <f t="array" ref="F193">IF(AND(tbl_Lifestyle[absences]&gt;15,tbl_Grades[final_grade]&lt;10),"At Risk","OK")</f>
        <v>OK</v>
      </c>
      <c r="L193">
        <v>2</v>
      </c>
      <c r="M193">
        <v>15</v>
      </c>
    </row>
    <row r="194" spans="5:13" x14ac:dyDescent="0.35">
      <c r="E194" t="str">
        <v>Average</v>
      </c>
      <c r="F194" t="str" cm="1">
        <f t="array" ref="F194">IF(AND(tbl_Lifestyle[absences]&gt;15,tbl_Grades[final_grade]&lt;10),"At Risk","OK")</f>
        <v>OK</v>
      </c>
      <c r="L194">
        <v>6</v>
      </c>
      <c r="M194">
        <v>15</v>
      </c>
    </row>
    <row r="195" spans="5:13" x14ac:dyDescent="0.35">
      <c r="E195" t="str">
        <v>Average</v>
      </c>
      <c r="F195" t="str" cm="1">
        <f t="array" ref="F195">IF(AND(tbl_Lifestyle[absences]&gt;15,tbl_Grades[final_grade]&lt;10),"At Risk","OK")</f>
        <v>OK</v>
      </c>
      <c r="L195">
        <v>2</v>
      </c>
      <c r="M195">
        <v>13</v>
      </c>
    </row>
    <row r="196" spans="5:13" x14ac:dyDescent="0.35">
      <c r="E196" t="str">
        <v>Average</v>
      </c>
      <c r="F196" t="str" cm="1">
        <f t="array" ref="F196">IF(AND(tbl_Lifestyle[absences]&gt;15,tbl_Grades[final_grade]&lt;10),"At Risk","OK")</f>
        <v>OK</v>
      </c>
      <c r="L196">
        <v>18</v>
      </c>
      <c r="M196">
        <v>13</v>
      </c>
    </row>
    <row r="197" spans="5:13" x14ac:dyDescent="0.35">
      <c r="E197" t="str">
        <v>Good</v>
      </c>
      <c r="F197" t="str" cm="1">
        <f t="array" ref="F197">IF(AND(tbl_Lifestyle[absences]&gt;15,tbl_Grades[final_grade]&lt;10),"At Risk","OK")</f>
        <v>OK</v>
      </c>
      <c r="L197">
        <v>0</v>
      </c>
      <c r="M197">
        <v>8</v>
      </c>
    </row>
    <row r="198" spans="5:13" x14ac:dyDescent="0.35">
      <c r="E198" t="str">
        <v>Below Average</v>
      </c>
      <c r="F198" t="str" cm="1">
        <f t="array" ref="F198">IF(AND(tbl_Lifestyle[absences]&gt;15,tbl_Grades[final_grade]&lt;10),"At Risk","OK")</f>
        <v>OK</v>
      </c>
      <c r="L198">
        <v>0</v>
      </c>
      <c r="M198">
        <v>12</v>
      </c>
    </row>
    <row r="199" spans="5:13" x14ac:dyDescent="0.35">
      <c r="E199" t="str">
        <v>Excellent</v>
      </c>
      <c r="F199" t="str" cm="1">
        <f t="array" ref="F199">IF(AND(tbl_Lifestyle[absences]&gt;15,tbl_Grades[final_grade]&lt;10),"At Risk","OK")</f>
        <v>OK</v>
      </c>
      <c r="L199">
        <v>0</v>
      </c>
      <c r="M199">
        <v>11</v>
      </c>
    </row>
    <row r="200" spans="5:13" x14ac:dyDescent="0.35">
      <c r="E200" t="str">
        <v>Below Average</v>
      </c>
      <c r="F200" t="str" cm="1">
        <f t="array" ref="F200">IF(AND(tbl_Lifestyle[absences]&gt;15,tbl_Grades[final_grade]&lt;10),"At Risk","OK")</f>
        <v>OK</v>
      </c>
      <c r="L200">
        <v>2</v>
      </c>
      <c r="M200">
        <v>9</v>
      </c>
    </row>
    <row r="201" spans="5:13" x14ac:dyDescent="0.35">
      <c r="E201" t="str">
        <v>Excellent</v>
      </c>
      <c r="F201" t="str" cm="1">
        <f t="array" ref="F201">IF(AND(tbl_Lifestyle[absences]&gt;15,tbl_Grades[final_grade]&lt;10),"At Risk","OK")</f>
        <v>OK</v>
      </c>
      <c r="L201">
        <v>0</v>
      </c>
      <c r="M201">
        <v>0</v>
      </c>
    </row>
    <row r="202" spans="5:13" x14ac:dyDescent="0.35">
      <c r="E202" t="str">
        <v>Average</v>
      </c>
      <c r="F202" t="str" cm="1">
        <f t="array" ref="F202">IF(AND(tbl_Lifestyle[absences]&gt;15,tbl_Grades[final_grade]&lt;10),"At Risk","OK")</f>
        <v>OK</v>
      </c>
      <c r="L202">
        <v>8</v>
      </c>
      <c r="M202">
        <v>18</v>
      </c>
    </row>
    <row r="203" spans="5:13" x14ac:dyDescent="0.35">
      <c r="E203" t="str">
        <v>Excellent</v>
      </c>
      <c r="F203" t="str" cm="1">
        <f t="array" ref="F203">IF(AND(tbl_Lifestyle[absences]&gt;15,tbl_Grades[final_grade]&lt;10),"At Risk","OK")</f>
        <v>OK</v>
      </c>
      <c r="L203">
        <v>0</v>
      </c>
      <c r="M203">
        <v>0</v>
      </c>
    </row>
    <row r="204" spans="5:13" x14ac:dyDescent="0.35">
      <c r="E204" t="str">
        <v>Average</v>
      </c>
      <c r="F204" t="str" cm="1">
        <f t="array" ref="F204">IF(AND(tbl_Lifestyle[absences]&gt;15,tbl_Grades[final_grade]&lt;10),"At Risk","OK")</f>
        <v>OK</v>
      </c>
      <c r="L204">
        <v>0</v>
      </c>
      <c r="M204">
        <v>0</v>
      </c>
    </row>
    <row r="205" spans="5:13" x14ac:dyDescent="0.35">
      <c r="E205" t="str">
        <v>Average</v>
      </c>
      <c r="F205" t="str" cm="1">
        <f t="array" ref="F205">IF(AND(tbl_Lifestyle[absences]&gt;15,tbl_Grades[final_grade]&lt;10),"At Risk","OK")</f>
        <v>OK</v>
      </c>
      <c r="L205">
        <v>12</v>
      </c>
      <c r="M205">
        <v>12</v>
      </c>
    </row>
    <row r="206" spans="5:13" x14ac:dyDescent="0.35">
      <c r="E206" t="str">
        <v>Below Average</v>
      </c>
      <c r="F206" t="str" cm="1">
        <f t="array" ref="F206">IF(AND(tbl_Lifestyle[absences]&gt;15,tbl_Grades[final_grade]&lt;10),"At Risk","OK")</f>
        <v>OK</v>
      </c>
      <c r="L206">
        <v>16</v>
      </c>
      <c r="M206">
        <v>11</v>
      </c>
    </row>
    <row r="207" spans="5:13" x14ac:dyDescent="0.35">
      <c r="E207" t="str">
        <v>Average</v>
      </c>
      <c r="F207" t="str" cm="1">
        <f t="array" ref="F207">IF(AND(tbl_Lifestyle[absences]&gt;15,tbl_Grades[final_grade]&lt;10),"At Risk","OK")</f>
        <v>OK</v>
      </c>
      <c r="L207">
        <v>0</v>
      </c>
      <c r="M207">
        <v>0</v>
      </c>
    </row>
    <row r="208" spans="5:13" x14ac:dyDescent="0.35">
      <c r="E208" t="str">
        <v>Average</v>
      </c>
      <c r="F208" t="str" cm="1">
        <f t="array" ref="F208">IF(AND(tbl_Lifestyle[absences]&gt;15,tbl_Grades[final_grade]&lt;10),"At Risk","OK")</f>
        <v>OK</v>
      </c>
      <c r="L208">
        <v>0</v>
      </c>
      <c r="M208">
        <v>0</v>
      </c>
    </row>
    <row r="209" spans="5:13" x14ac:dyDescent="0.35">
      <c r="E209" t="str">
        <v>Below Average</v>
      </c>
      <c r="F209" t="str" cm="1">
        <f t="array" ref="F209">IF(AND(tbl_Lifestyle[absences]&gt;15,tbl_Grades[final_grade]&lt;10),"At Risk","OK")</f>
        <v>OK</v>
      </c>
      <c r="L209">
        <v>0</v>
      </c>
      <c r="M209">
        <v>0</v>
      </c>
    </row>
    <row r="210" spans="5:13" x14ac:dyDescent="0.35">
      <c r="E210" t="str">
        <v>Good</v>
      </c>
      <c r="F210" t="str" cm="1">
        <f t="array" ref="F210">IF(AND(tbl_Lifestyle[absences]&gt;15,tbl_Grades[final_grade]&lt;10),"At Risk","OK")</f>
        <v>OK</v>
      </c>
      <c r="L210">
        <v>0</v>
      </c>
      <c r="M210">
        <v>0</v>
      </c>
    </row>
    <row r="211" spans="5:13" x14ac:dyDescent="0.35">
      <c r="E211" t="str">
        <v>Average</v>
      </c>
      <c r="F211" t="str" cm="1">
        <f t="array" ref="F211">IF(AND(tbl_Lifestyle[absences]&gt;15,tbl_Grades[final_grade]&lt;10),"At Risk","OK")</f>
        <v>OK</v>
      </c>
      <c r="L211">
        <v>0</v>
      </c>
      <c r="M211">
        <v>12</v>
      </c>
    </row>
    <row r="212" spans="5:13" x14ac:dyDescent="0.35">
      <c r="E212" t="str">
        <v>Below Average</v>
      </c>
      <c r="F212" t="str" cm="1">
        <f t="array" ref="F212">IF(AND(tbl_Lifestyle[absences]&gt;15,tbl_Grades[final_grade]&lt;10),"At Risk","OK")</f>
        <v>OK</v>
      </c>
      <c r="L212">
        <v>0</v>
      </c>
      <c r="M212">
        <v>15</v>
      </c>
    </row>
    <row r="213" spans="5:13" x14ac:dyDescent="0.35">
      <c r="E213" t="str">
        <v>Average</v>
      </c>
      <c r="F213" t="str" cm="1">
        <f t="array" ref="F213">IF(AND(tbl_Lifestyle[absences]&gt;15,tbl_Grades[final_grade]&lt;10),"At Risk","OK")</f>
        <v>OK</v>
      </c>
      <c r="L213">
        <v>0</v>
      </c>
      <c r="M213">
        <v>0</v>
      </c>
    </row>
    <row r="214" spans="5:13" x14ac:dyDescent="0.35">
      <c r="E214" t="str">
        <v>Good</v>
      </c>
      <c r="F214" t="str" cm="1">
        <f t="array" ref="F214">IF(AND(tbl_Lifestyle[absences]&gt;15,tbl_Grades[final_grade]&lt;10),"At Risk","OK")</f>
        <v>OK</v>
      </c>
      <c r="L214">
        <v>8</v>
      </c>
      <c r="M214">
        <v>9</v>
      </c>
    </row>
    <row r="215" spans="5:13" x14ac:dyDescent="0.35">
      <c r="E215" t="str">
        <v>Good</v>
      </c>
      <c r="F215" t="str" cm="1">
        <f t="array" ref="F215">IF(AND(tbl_Lifestyle[absences]&gt;15,tbl_Grades[final_grade]&lt;10),"At Risk","OK")</f>
        <v>OK</v>
      </c>
      <c r="L215">
        <v>2</v>
      </c>
      <c r="M215">
        <v>11</v>
      </c>
    </row>
    <row r="216" spans="5:13" x14ac:dyDescent="0.35">
      <c r="E216" t="str">
        <v>Average</v>
      </c>
      <c r="F216" t="str" cm="1">
        <f t="array" ref="F216">IF(AND(tbl_Lifestyle[absences]&gt;15,tbl_Grades[final_grade]&lt;10),"At Risk","OK")</f>
        <v>OK</v>
      </c>
      <c r="L216">
        <v>2</v>
      </c>
      <c r="M216">
        <v>13</v>
      </c>
    </row>
    <row r="217" spans="5:13" x14ac:dyDescent="0.35">
      <c r="E217" t="str">
        <v>Average</v>
      </c>
      <c r="F217" t="str" cm="1">
        <f t="array" ref="F217">IF(AND(tbl_Lifestyle[absences]&gt;15,tbl_Grades[final_grade]&lt;10),"At Risk","OK")</f>
        <v>OK</v>
      </c>
      <c r="L217">
        <v>0</v>
      </c>
      <c r="M217">
        <v>0</v>
      </c>
    </row>
    <row r="218" spans="5:13" x14ac:dyDescent="0.35">
      <c r="E218" t="str">
        <v>Good</v>
      </c>
      <c r="F218" t="str" cm="1">
        <f t="array" ref="F218">IF(AND(tbl_Lifestyle[absences]&gt;15,tbl_Grades[final_grade]&lt;10),"At Risk","OK")</f>
        <v>OK</v>
      </c>
      <c r="L218">
        <v>0</v>
      </c>
      <c r="M218">
        <v>11</v>
      </c>
    </row>
    <row r="219" spans="5:13" x14ac:dyDescent="0.35">
      <c r="E219" t="str">
        <v>Below Average</v>
      </c>
      <c r="F219" t="str" cm="1">
        <f t="array" ref="F219">IF(AND(tbl_Lifestyle[absences]&gt;15,tbl_Grades[final_grade]&lt;10),"At Risk","OK")</f>
        <v>OK</v>
      </c>
      <c r="L219">
        <v>0</v>
      </c>
      <c r="M219">
        <v>0</v>
      </c>
    </row>
    <row r="220" spans="5:13" x14ac:dyDescent="0.35">
      <c r="E220" t="str">
        <v>Average</v>
      </c>
      <c r="F220" t="str" cm="1">
        <f t="array" ref="F220">IF(AND(tbl_Lifestyle[absences]&gt;15,tbl_Grades[final_grade]&lt;10),"At Risk","OK")</f>
        <v>OK</v>
      </c>
      <c r="L220">
        <v>2</v>
      </c>
      <c r="M220">
        <v>11</v>
      </c>
    </row>
    <row r="221" spans="5:13" x14ac:dyDescent="0.35">
      <c r="E221" t="str">
        <v>Average</v>
      </c>
      <c r="F221" t="str" cm="1">
        <f t="array" ref="F221">IF(AND(tbl_Lifestyle[absences]&gt;15,tbl_Grades[final_grade]&lt;10),"At Risk","OK")</f>
        <v>OK</v>
      </c>
      <c r="L221">
        <v>0</v>
      </c>
      <c r="M221">
        <v>0</v>
      </c>
    </row>
    <row r="222" spans="5:13" x14ac:dyDescent="0.35">
      <c r="E222" t="str">
        <v>Average</v>
      </c>
      <c r="F222" t="str" cm="1">
        <f t="array" ref="F222">IF(AND(tbl_Lifestyle[absences]&gt;15,tbl_Grades[final_grade]&lt;10),"At Risk","OK")</f>
        <v>OK</v>
      </c>
      <c r="L222">
        <v>0</v>
      </c>
      <c r="M222">
        <v>10</v>
      </c>
    </row>
    <row r="223" spans="5:13" x14ac:dyDescent="0.35">
      <c r="E223" t="str">
        <v>Below Average</v>
      </c>
      <c r="F223" t="str" cm="1">
        <f t="array" ref="F223">IF(AND(tbl_Lifestyle[absences]&gt;15,tbl_Grades[final_grade]&lt;10),"At Risk","OK")</f>
        <v>OK</v>
      </c>
      <c r="L223">
        <v>0</v>
      </c>
      <c r="M223">
        <v>0</v>
      </c>
    </row>
    <row r="224" spans="5:13" x14ac:dyDescent="0.35">
      <c r="E224" t="str">
        <v>Below Average</v>
      </c>
      <c r="F224" t="str" cm="1">
        <f t="array" ref="F224">IF(AND(tbl_Lifestyle[absences]&gt;15,tbl_Grades[final_grade]&lt;10),"At Risk","OK")</f>
        <v>OK</v>
      </c>
      <c r="L224">
        <v>6</v>
      </c>
      <c r="M224">
        <v>14</v>
      </c>
    </row>
    <row r="225" spans="5:13" x14ac:dyDescent="0.35">
      <c r="E225" t="str">
        <v>Excellent</v>
      </c>
      <c r="F225" t="str" cm="1">
        <f t="array" ref="F225">IF(AND(tbl_Lifestyle[absences]&gt;15,tbl_Grades[final_grade]&lt;10),"At Risk","OK")</f>
        <v>OK</v>
      </c>
      <c r="L225">
        <v>8</v>
      </c>
      <c r="M225">
        <v>10</v>
      </c>
    </row>
    <row r="226" spans="5:13" x14ac:dyDescent="0.35">
      <c r="E226" t="str">
        <v>Good</v>
      </c>
      <c r="F226" t="str" cm="1">
        <f t="array" ref="F226">IF(AND(tbl_Lifestyle[absences]&gt;15,tbl_Grades[final_grade]&lt;10),"At Risk","OK")</f>
        <v>OK</v>
      </c>
      <c r="L226">
        <v>0</v>
      </c>
      <c r="M226">
        <v>0</v>
      </c>
    </row>
    <row r="227" spans="5:13" x14ac:dyDescent="0.35">
      <c r="E227" t="str">
        <v>Good</v>
      </c>
      <c r="F227" t="str" cm="1">
        <f t="array" ref="F227">IF(AND(tbl_Lifestyle[absences]&gt;15,tbl_Grades[final_grade]&lt;10),"At Risk","OK")</f>
        <v>OK</v>
      </c>
      <c r="L227">
        <v>0</v>
      </c>
      <c r="M227">
        <v>12</v>
      </c>
    </row>
    <row r="228" spans="5:13" x14ac:dyDescent="0.35">
      <c r="E228" t="str">
        <v>Below Average</v>
      </c>
      <c r="F228" t="str" cm="1">
        <f t="array" ref="F228">IF(AND(tbl_Lifestyle[absences]&gt;15,tbl_Grades[final_grade]&lt;10),"At Risk","OK")</f>
        <v>OK</v>
      </c>
      <c r="L228">
        <v>2</v>
      </c>
      <c r="M228">
        <v>8</v>
      </c>
    </row>
    <row r="229" spans="5:13" x14ac:dyDescent="0.35">
      <c r="E229" t="str">
        <v>Good</v>
      </c>
      <c r="F229" t="str" cm="1">
        <f t="array" ref="F229">IF(AND(tbl_Lifestyle[absences]&gt;15,tbl_Grades[final_grade]&lt;10),"At Risk","OK")</f>
        <v>OK</v>
      </c>
      <c r="L229">
        <v>8</v>
      </c>
      <c r="M229">
        <v>13</v>
      </c>
    </row>
    <row r="230" spans="5:13" x14ac:dyDescent="0.35">
      <c r="E230" t="str">
        <v>Average</v>
      </c>
      <c r="F230" t="str" cm="1">
        <f t="array" ref="F230">IF(AND(tbl_Lifestyle[absences]&gt;15,tbl_Grades[final_grade]&lt;10),"At Risk","OK")</f>
        <v>OK</v>
      </c>
      <c r="L230">
        <v>6</v>
      </c>
      <c r="M230">
        <v>10</v>
      </c>
    </row>
    <row r="231" spans="5:13" x14ac:dyDescent="0.35">
      <c r="E231" t="str">
        <v>Average</v>
      </c>
      <c r="F231" t="str" cm="1">
        <f t="array" ref="F231">IF(AND(tbl_Lifestyle[absences]&gt;15,tbl_Grades[final_grade]&lt;10),"At Risk","OK")</f>
        <v>OK</v>
      </c>
      <c r="L231">
        <v>2</v>
      </c>
      <c r="M231">
        <v>15</v>
      </c>
    </row>
    <row r="232" spans="5:13" x14ac:dyDescent="0.35">
      <c r="E232" t="str">
        <v>Average</v>
      </c>
      <c r="F232" t="str" cm="1">
        <f t="array" ref="F232">IF(AND(tbl_Lifestyle[absences]&gt;15,tbl_Grades[final_grade]&lt;10),"At Risk","OK")</f>
        <v>OK</v>
      </c>
      <c r="L232">
        <v>4</v>
      </c>
      <c r="M232">
        <v>12</v>
      </c>
    </row>
    <row r="233" spans="5:13" x14ac:dyDescent="0.35">
      <c r="E233" t="str">
        <v>Good</v>
      </c>
      <c r="F233" t="str" cm="1">
        <f t="array" ref="F233">IF(AND(tbl_Lifestyle[absences]&gt;15,tbl_Grades[final_grade]&lt;10),"At Risk","OK")</f>
        <v>OK</v>
      </c>
      <c r="L233">
        <v>0</v>
      </c>
      <c r="M233">
        <v>0</v>
      </c>
    </row>
    <row r="234" spans="5:13" x14ac:dyDescent="0.35">
      <c r="E234" t="str">
        <v>Average</v>
      </c>
      <c r="F234" t="str" cm="1">
        <f t="array" ref="F234">IF(AND(tbl_Lifestyle[absences]&gt;15,tbl_Grades[final_grade]&lt;10),"At Risk","OK")</f>
        <v>OK</v>
      </c>
      <c r="L234">
        <v>6</v>
      </c>
      <c r="M234">
        <v>7</v>
      </c>
    </row>
    <row r="235" spans="5:13" x14ac:dyDescent="0.35">
      <c r="E235" t="str">
        <v>Average</v>
      </c>
      <c r="F235" t="str" cm="1">
        <f t="array" ref="F235">IF(AND(tbl_Lifestyle[absences]&gt;15,tbl_Grades[final_grade]&lt;10),"At Risk","OK")</f>
        <v>OK</v>
      </c>
      <c r="L235">
        <v>0</v>
      </c>
      <c r="M235">
        <v>0</v>
      </c>
    </row>
    <row r="236" spans="5:13" x14ac:dyDescent="0.35">
      <c r="E236" t="str">
        <v>Good</v>
      </c>
      <c r="F236" t="str" cm="1">
        <f t="array" ref="F236">IF(AND(tbl_Lifestyle[absences]&gt;15,tbl_Grades[final_grade]&lt;10),"At Risk","OK")</f>
        <v>OK</v>
      </c>
      <c r="L236">
        <v>2</v>
      </c>
      <c r="M236">
        <v>10</v>
      </c>
    </row>
    <row r="237" spans="5:13" x14ac:dyDescent="0.35">
      <c r="E237" t="str">
        <v>Below Average</v>
      </c>
      <c r="F237" t="str" cm="1">
        <f t="array" ref="F237">IF(AND(tbl_Lifestyle[absences]&gt;15,tbl_Grades[final_grade]&lt;10),"At Risk","OK")</f>
        <v>OK</v>
      </c>
      <c r="L237">
        <v>0</v>
      </c>
      <c r="M237">
        <v>7</v>
      </c>
    </row>
    <row r="238" spans="5:13" x14ac:dyDescent="0.35">
      <c r="E238" t="str">
        <v>Average</v>
      </c>
      <c r="F238" t="str" cm="1">
        <f t="array" ref="F238">IF(AND(tbl_Lifestyle[absences]&gt;15,tbl_Grades[final_grade]&lt;10),"At Risk","OK")</f>
        <v>OK</v>
      </c>
      <c r="L238">
        <v>16</v>
      </c>
      <c r="M238">
        <v>12</v>
      </c>
    </row>
    <row r="239" spans="5:13" x14ac:dyDescent="0.35">
      <c r="E239" t="str">
        <v>Good</v>
      </c>
      <c r="F239" t="str" cm="1">
        <f t="array" ref="F239">IF(AND(tbl_Lifestyle[absences]&gt;15,tbl_Grades[final_grade]&lt;10),"At Risk","OK")</f>
        <v>OK</v>
      </c>
      <c r="L239">
        <v>4</v>
      </c>
      <c r="M239">
        <v>10</v>
      </c>
    </row>
    <row r="240" spans="5:13" x14ac:dyDescent="0.35">
      <c r="E240" t="str">
        <v>Average</v>
      </c>
      <c r="F240" t="str" cm="1">
        <f t="array" ref="F240">IF(AND(tbl_Lifestyle[absences]&gt;15,tbl_Grades[final_grade]&lt;10),"At Risk","OK")</f>
        <v>OK</v>
      </c>
      <c r="L240">
        <v>0</v>
      </c>
      <c r="M240">
        <v>16</v>
      </c>
    </row>
    <row r="241" spans="5:13" x14ac:dyDescent="0.35">
      <c r="E241" t="str">
        <v>Average</v>
      </c>
      <c r="F241" t="str" cm="1">
        <f t="array" ref="F241">IF(AND(tbl_Lifestyle[absences]&gt;15,tbl_Grades[final_grade]&lt;10),"At Risk","OK")</f>
        <v>OK</v>
      </c>
      <c r="L241">
        <v>0</v>
      </c>
      <c r="M241">
        <v>0</v>
      </c>
    </row>
    <row r="242" spans="5:13" x14ac:dyDescent="0.35">
      <c r="E242" t="str">
        <v>Below Average</v>
      </c>
      <c r="F242" t="str" cm="1">
        <f t="array" ref="F242">IF(AND(tbl_Lifestyle[absences]&gt;15,tbl_Grades[final_grade]&lt;10),"At Risk","OK")</f>
        <v>OK</v>
      </c>
      <c r="L242">
        <v>0</v>
      </c>
      <c r="M242">
        <v>14</v>
      </c>
    </row>
    <row r="243" spans="5:13" x14ac:dyDescent="0.35">
      <c r="E243" t="str">
        <v>Average</v>
      </c>
      <c r="F243" t="str" cm="1">
        <f t="array" ref="F243">IF(AND(tbl_Lifestyle[absences]&gt;15,tbl_Grades[final_grade]&lt;10),"At Risk","OK")</f>
        <v>OK</v>
      </c>
      <c r="L243">
        <v>0</v>
      </c>
      <c r="M243">
        <v>0</v>
      </c>
    </row>
    <row r="244" spans="5:13" x14ac:dyDescent="0.35">
      <c r="E244" t="str">
        <v>Average</v>
      </c>
      <c r="F244" t="str" cm="1">
        <f t="array" ref="F244">IF(AND(tbl_Lifestyle[absences]&gt;15,tbl_Grades[final_grade]&lt;10),"At Risk","OK")</f>
        <v>OK</v>
      </c>
      <c r="L244">
        <v>2</v>
      </c>
      <c r="M244">
        <v>16</v>
      </c>
    </row>
    <row r="245" spans="5:13" x14ac:dyDescent="0.35">
      <c r="E245" t="str">
        <v>Below Average</v>
      </c>
      <c r="F245" t="str" cm="1">
        <f t="array" ref="F245">IF(AND(tbl_Lifestyle[absences]&gt;15,tbl_Grades[final_grade]&lt;10),"At Risk","OK")</f>
        <v>OK</v>
      </c>
      <c r="L245">
        <v>0</v>
      </c>
      <c r="M245">
        <v>10</v>
      </c>
    </row>
    <row r="246" spans="5:13" x14ac:dyDescent="0.35">
      <c r="E246" t="str">
        <v>Average</v>
      </c>
      <c r="F246" t="str" cm="1">
        <f t="array" ref="F246">IF(AND(tbl_Lifestyle[absences]&gt;15,tbl_Grades[final_grade]&lt;10),"At Risk","OK")</f>
        <v>OK</v>
      </c>
      <c r="L246">
        <v>0</v>
      </c>
      <c r="M246">
        <v>0</v>
      </c>
    </row>
    <row r="247" spans="5:13" x14ac:dyDescent="0.35">
      <c r="E247" t="str">
        <v>Below Average</v>
      </c>
      <c r="F247" t="str" cm="1">
        <f t="array" ref="F247">IF(AND(tbl_Lifestyle[absences]&gt;15,tbl_Grades[final_grade]&lt;10),"At Risk","OK")</f>
        <v>OK</v>
      </c>
      <c r="L247">
        <v>4</v>
      </c>
      <c r="M247">
        <v>9</v>
      </c>
    </row>
    <row r="248" spans="5:13" x14ac:dyDescent="0.35">
      <c r="E248" t="str">
        <v>Excellent</v>
      </c>
      <c r="F248" t="str" cm="1">
        <f t="array" ref="F248">IF(AND(tbl_Lifestyle[absences]&gt;15,tbl_Grades[final_grade]&lt;10),"At Risk","OK")</f>
        <v>OK</v>
      </c>
      <c r="L248">
        <v>4</v>
      </c>
      <c r="M248">
        <v>9</v>
      </c>
    </row>
    <row r="249" spans="5:13" x14ac:dyDescent="0.35">
      <c r="E249" t="str">
        <v>Good</v>
      </c>
      <c r="F249" t="str" cm="1">
        <f t="array" ref="F249">IF(AND(tbl_Lifestyle[absences]&gt;15,tbl_Grades[final_grade]&lt;10),"At Risk","OK")</f>
        <v>OK</v>
      </c>
      <c r="L249">
        <v>2</v>
      </c>
      <c r="M249">
        <v>11</v>
      </c>
    </row>
    <row r="250" spans="5:13" x14ac:dyDescent="0.35">
      <c r="E250" t="str">
        <v>Average</v>
      </c>
      <c r="F250" t="str" cm="1">
        <f t="array" ref="F250">IF(AND(tbl_Lifestyle[absences]&gt;15,tbl_Grades[final_grade]&lt;10),"At Risk","OK")</f>
        <v>OK</v>
      </c>
      <c r="L250">
        <v>4</v>
      </c>
      <c r="M250">
        <v>6</v>
      </c>
    </row>
    <row r="251" spans="5:13" x14ac:dyDescent="0.35">
      <c r="E251" t="str">
        <v>Below Average</v>
      </c>
      <c r="F251" t="str" cm="1">
        <f t="array" ref="F251">IF(AND(tbl_Lifestyle[absences]&gt;15,tbl_Grades[final_grade]&lt;10),"At Risk","OK")</f>
        <v>OK</v>
      </c>
      <c r="L251">
        <v>10</v>
      </c>
      <c r="M251">
        <v>9</v>
      </c>
    </row>
    <row r="252" spans="5:13" x14ac:dyDescent="0.35">
      <c r="E252" t="str">
        <v>Good</v>
      </c>
      <c r="F252" t="str" cm="1">
        <f t="array" ref="F252">IF(AND(tbl_Lifestyle[absences]&gt;15,tbl_Grades[final_grade]&lt;10),"At Risk","OK")</f>
        <v>OK</v>
      </c>
      <c r="L252">
        <v>4</v>
      </c>
      <c r="M252">
        <v>11</v>
      </c>
    </row>
    <row r="253" spans="5:13" x14ac:dyDescent="0.35">
      <c r="E253" t="str">
        <v>Average</v>
      </c>
      <c r="F253" t="str" cm="1">
        <f t="array" ref="F253">IF(AND(tbl_Lifestyle[absences]&gt;15,tbl_Grades[final_grade]&lt;10),"At Risk","OK")</f>
        <v>OK</v>
      </c>
      <c r="L253">
        <v>10</v>
      </c>
      <c r="M253">
        <v>8</v>
      </c>
    </row>
    <row r="254" spans="5:13" x14ac:dyDescent="0.35">
      <c r="E254" t="str">
        <v>Average</v>
      </c>
      <c r="F254" t="str" cm="1">
        <f t="array" ref="F254">IF(AND(tbl_Lifestyle[absences]&gt;15,tbl_Grades[final_grade]&lt;10),"At Risk","OK")</f>
        <v>OK</v>
      </c>
      <c r="L254">
        <v>2</v>
      </c>
      <c r="M254">
        <v>12</v>
      </c>
    </row>
    <row r="255" spans="5:13" x14ac:dyDescent="0.35">
      <c r="E255" t="str">
        <v>Average</v>
      </c>
      <c r="F255" t="str" cm="1">
        <f t="array" ref="F255">IF(AND(tbl_Lifestyle[absences]&gt;15,tbl_Grades[final_grade]&lt;10),"At Risk","OK")</f>
        <v>OK</v>
      </c>
      <c r="L255">
        <v>0</v>
      </c>
      <c r="M255">
        <v>17</v>
      </c>
    </row>
    <row r="256" spans="5:13" x14ac:dyDescent="0.35">
      <c r="E256" t="str">
        <v>Average</v>
      </c>
      <c r="F256" t="str" cm="1">
        <f t="array" ref="F256">IF(AND(tbl_Lifestyle[absences]&gt;15,tbl_Grades[final_grade]&lt;10),"At Risk","OK")</f>
        <v>OK</v>
      </c>
      <c r="L256">
        <v>56</v>
      </c>
      <c r="M256">
        <v>8</v>
      </c>
    </row>
    <row r="257" spans="5:13" x14ac:dyDescent="0.35">
      <c r="E257" t="str">
        <v>Average</v>
      </c>
      <c r="F257" t="str" cm="1">
        <f t="array" ref="F257">IF(AND(tbl_Lifestyle[absences]&gt;15,tbl_Grades[final_grade]&lt;10),"At Risk","OK")</f>
        <v>OK</v>
      </c>
      <c r="L257">
        <v>14</v>
      </c>
      <c r="M257">
        <v>12</v>
      </c>
    </row>
    <row r="258" spans="5:13" x14ac:dyDescent="0.35">
      <c r="E258" t="str">
        <v>Average</v>
      </c>
      <c r="F258" t="str" cm="1">
        <f t="array" ref="F258">IF(AND(tbl_Lifestyle[absences]&gt;15,tbl_Grades[final_grade]&lt;10),"At Risk","OK")</f>
        <v>OK</v>
      </c>
      <c r="L258">
        <v>12</v>
      </c>
      <c r="M258">
        <v>11</v>
      </c>
    </row>
    <row r="259" spans="5:13" x14ac:dyDescent="0.35">
      <c r="E259" t="str">
        <v>Good</v>
      </c>
      <c r="F259" t="str" cm="1">
        <f t="array" ref="F259">IF(AND(tbl_Lifestyle[absences]&gt;15,tbl_Grades[final_grade]&lt;10),"At Risk","OK")</f>
        <v>OK</v>
      </c>
      <c r="L259">
        <v>2</v>
      </c>
      <c r="M259">
        <v>11</v>
      </c>
    </row>
    <row r="260" spans="5:13" x14ac:dyDescent="0.35">
      <c r="E260" t="str">
        <v>Average</v>
      </c>
      <c r="F260" t="str" cm="1">
        <f t="array" ref="F260">IF(AND(tbl_Lifestyle[absences]&gt;15,tbl_Grades[final_grade]&lt;10),"At Risk","OK")</f>
        <v>OK</v>
      </c>
      <c r="L260">
        <v>0</v>
      </c>
      <c r="M260">
        <v>15</v>
      </c>
    </row>
    <row r="261" spans="5:13" x14ac:dyDescent="0.35">
      <c r="E261" t="str">
        <v>Good</v>
      </c>
      <c r="F261" t="str" cm="1">
        <f t="array" ref="F261">IF(AND(tbl_Lifestyle[absences]&gt;15,tbl_Grades[final_grade]&lt;10),"At Risk","OK")</f>
        <v>OK</v>
      </c>
      <c r="L261">
        <v>6</v>
      </c>
      <c r="M261">
        <v>9</v>
      </c>
    </row>
    <row r="262" spans="5:13" x14ac:dyDescent="0.35">
      <c r="E262" t="str">
        <v>Below Average</v>
      </c>
      <c r="F262" t="str" cm="1">
        <f t="array" ref="F262">IF(AND(tbl_Lifestyle[absences]&gt;15,tbl_Grades[final_grade]&lt;10),"At Risk","OK")</f>
        <v>OK</v>
      </c>
      <c r="L262">
        <v>4</v>
      </c>
      <c r="M262">
        <v>10</v>
      </c>
    </row>
    <row r="263" spans="5:13" x14ac:dyDescent="0.35">
      <c r="E263" t="str">
        <v>Excellent</v>
      </c>
      <c r="F263" t="str" cm="1">
        <f t="array" ref="F263">IF(AND(tbl_Lifestyle[absences]&gt;15,tbl_Grades[final_grade]&lt;10),"At Risk","OK")</f>
        <v>OK</v>
      </c>
      <c r="L263">
        <v>10</v>
      </c>
      <c r="M263">
        <v>13</v>
      </c>
    </row>
    <row r="264" spans="5:13" x14ac:dyDescent="0.35">
      <c r="E264" t="str">
        <v>Average</v>
      </c>
      <c r="F264" t="str" cm="1">
        <f t="array" ref="F264">IF(AND(tbl_Lifestyle[absences]&gt;15,tbl_Grades[final_grade]&lt;10),"At Risk","OK")</f>
        <v>OK</v>
      </c>
      <c r="L264">
        <v>0</v>
      </c>
      <c r="M264">
        <v>9</v>
      </c>
    </row>
    <row r="265" spans="5:13" x14ac:dyDescent="0.35">
      <c r="E265" t="str">
        <v>Average</v>
      </c>
      <c r="F265" t="str" cm="1">
        <f t="array" ref="F265">IF(AND(tbl_Lifestyle[absences]&gt;15,tbl_Grades[final_grade]&lt;10),"At Risk","OK")</f>
        <v>OK</v>
      </c>
      <c r="L265">
        <v>12</v>
      </c>
      <c r="M265">
        <v>8</v>
      </c>
    </row>
    <row r="266" spans="5:13" x14ac:dyDescent="0.35">
      <c r="E266" t="str">
        <v>Average</v>
      </c>
      <c r="F266" t="str" cm="1">
        <f t="array" ref="F266">IF(AND(tbl_Lifestyle[absences]&gt;15,tbl_Grades[final_grade]&lt;10),"At Risk","OK")</f>
        <v>OK</v>
      </c>
      <c r="L266">
        <v>8</v>
      </c>
      <c r="M266">
        <v>10</v>
      </c>
    </row>
    <row r="267" spans="5:13" x14ac:dyDescent="0.35">
      <c r="E267" t="str">
        <v>Below Average</v>
      </c>
      <c r="F267" t="str" cm="1">
        <f t="array" ref="F267">IF(AND(tbl_Lifestyle[absences]&gt;15,tbl_Grades[final_grade]&lt;10),"At Risk","OK")</f>
        <v>OK</v>
      </c>
      <c r="L267">
        <v>0</v>
      </c>
      <c r="M267">
        <v>13.5</v>
      </c>
    </row>
    <row r="268" spans="5:13" x14ac:dyDescent="0.35">
      <c r="E268" t="str">
        <v>Excellent</v>
      </c>
      <c r="F268" t="str" cm="1">
        <f t="array" ref="F268">IF(AND(tbl_Lifestyle[absences]&gt;15,tbl_Grades[final_grade]&lt;10),"At Risk","OK")</f>
        <v>OK</v>
      </c>
      <c r="L268">
        <v>0</v>
      </c>
      <c r="M268">
        <v>0</v>
      </c>
    </row>
    <row r="269" spans="5:13" x14ac:dyDescent="0.35">
      <c r="E269" t="str">
        <v>Average</v>
      </c>
      <c r="F269" t="str" cm="1">
        <f t="array" ref="F269">IF(AND(tbl_Lifestyle[absences]&gt;15,tbl_Grades[final_grade]&lt;10),"At Risk","OK")</f>
        <v>OK</v>
      </c>
      <c r="L269">
        <v>4</v>
      </c>
      <c r="M269">
        <v>16</v>
      </c>
    </row>
    <row r="270" spans="5:13" x14ac:dyDescent="0.35">
      <c r="E270" t="str">
        <v>Average</v>
      </c>
      <c r="F270" t="str" cm="1">
        <f t="array" ref="F270">IF(AND(tbl_Lifestyle[absences]&gt;15,tbl_Grades[final_grade]&lt;10),"At Risk","OK")</f>
        <v>OK</v>
      </c>
      <c r="L270">
        <v>8</v>
      </c>
      <c r="M270">
        <v>0</v>
      </c>
    </row>
    <row r="271" spans="5:13" x14ac:dyDescent="0.35">
      <c r="E271" t="str">
        <v>Average</v>
      </c>
      <c r="F271" t="str" cm="1">
        <f t="array" ref="F271">IF(AND(tbl_Lifestyle[absences]&gt;15,tbl_Grades[final_grade]&lt;10),"At Risk","OK")</f>
        <v>OK</v>
      </c>
      <c r="L271">
        <v>24</v>
      </c>
      <c r="M271">
        <v>18</v>
      </c>
    </row>
    <row r="272" spans="5:13" x14ac:dyDescent="0.35">
      <c r="E272" t="str">
        <v>Below Average</v>
      </c>
      <c r="F272" t="str" cm="1">
        <f t="array" ref="F272">IF(AND(tbl_Lifestyle[absences]&gt;15,tbl_Grades[final_grade]&lt;10),"At Risk","OK")</f>
        <v>OK</v>
      </c>
      <c r="L272">
        <v>0</v>
      </c>
      <c r="M272">
        <v>10</v>
      </c>
    </row>
    <row r="273" spans="5:13" x14ac:dyDescent="0.35">
      <c r="E273" t="str">
        <v>Below Average</v>
      </c>
      <c r="F273" t="str" cm="1">
        <f t="array" ref="F273">IF(AND(tbl_Lifestyle[absences]&gt;15,tbl_Grades[final_grade]&lt;10),"At Risk","OK")</f>
        <v>OK</v>
      </c>
      <c r="L273">
        <v>2</v>
      </c>
      <c r="M273">
        <v>16</v>
      </c>
    </row>
    <row r="274" spans="5:13" x14ac:dyDescent="0.35">
      <c r="E274" t="str">
        <v>Good</v>
      </c>
      <c r="F274" t="str" cm="1">
        <f t="array" ref="F274">IF(AND(tbl_Lifestyle[absences]&gt;15,tbl_Grades[final_grade]&lt;10),"At Risk","OK")</f>
        <v>OK</v>
      </c>
      <c r="L274">
        <v>6</v>
      </c>
      <c r="M274">
        <v>10</v>
      </c>
    </row>
    <row r="275" spans="5:13" x14ac:dyDescent="0.35">
      <c r="E275" t="str">
        <v>Average</v>
      </c>
      <c r="F275" t="str" cm="1">
        <f t="array" ref="F275">IF(AND(tbl_Lifestyle[absences]&gt;15,tbl_Grades[final_grade]&lt;10),"At Risk","OK")</f>
        <v>OK</v>
      </c>
      <c r="L275">
        <v>4</v>
      </c>
      <c r="M275">
        <v>10</v>
      </c>
    </row>
    <row r="276" spans="5:13" x14ac:dyDescent="0.35">
      <c r="E276" t="str">
        <v>Good</v>
      </c>
      <c r="F276" t="str" cm="1">
        <f t="array" ref="F276">IF(AND(tbl_Lifestyle[absences]&gt;15,tbl_Grades[final_grade]&lt;10),"At Risk","OK")</f>
        <v>OK</v>
      </c>
      <c r="L276">
        <v>18</v>
      </c>
      <c r="M276">
        <v>6</v>
      </c>
    </row>
    <row r="277" spans="5:13" x14ac:dyDescent="0.35">
      <c r="E277" t="str">
        <v>Average</v>
      </c>
      <c r="F277" t="str" cm="1">
        <f t="array" ref="F277">IF(AND(tbl_Lifestyle[absences]&gt;15,tbl_Grades[final_grade]&lt;10),"At Risk","OK")</f>
        <v>OK</v>
      </c>
      <c r="L277">
        <v>6</v>
      </c>
      <c r="M277">
        <v>11</v>
      </c>
    </row>
    <row r="278" spans="5:13" x14ac:dyDescent="0.35">
      <c r="E278" t="str">
        <v>Average</v>
      </c>
      <c r="F278" t="str" cm="1">
        <f t="array" ref="F278">IF(AND(tbl_Lifestyle[absences]&gt;15,tbl_Grades[final_grade]&lt;10),"At Risk","OK")</f>
        <v>OK</v>
      </c>
      <c r="L278">
        <v>28</v>
      </c>
      <c r="M278">
        <v>9</v>
      </c>
    </row>
    <row r="279" spans="5:13" x14ac:dyDescent="0.35">
      <c r="E279" t="str">
        <v>Average</v>
      </c>
      <c r="F279" t="str" cm="1">
        <f t="array" ref="F279">IF(AND(tbl_Lifestyle[absences]&gt;15,tbl_Grades[final_grade]&lt;10),"At Risk","OK")</f>
        <v>OK</v>
      </c>
      <c r="L279">
        <v>5</v>
      </c>
      <c r="M279">
        <v>7</v>
      </c>
    </row>
    <row r="280" spans="5:13" x14ac:dyDescent="0.35">
      <c r="E280" t="str">
        <v>Average</v>
      </c>
      <c r="F280" t="str" cm="1">
        <f t="array" ref="F280">IF(AND(tbl_Lifestyle[absences]&gt;15,tbl_Grades[final_grade]&lt;10),"At Risk","OK")</f>
        <v>OK</v>
      </c>
      <c r="L280">
        <v>10</v>
      </c>
      <c r="M280">
        <v>13</v>
      </c>
    </row>
    <row r="281" spans="5:13" x14ac:dyDescent="0.35">
      <c r="E281" t="str">
        <v>Average</v>
      </c>
      <c r="F281" t="str" cm="1">
        <f t="array" ref="F281">IF(AND(tbl_Lifestyle[absences]&gt;15,tbl_Grades[final_grade]&lt;10),"At Risk","OK")</f>
        <v>OK</v>
      </c>
      <c r="L281">
        <v>6</v>
      </c>
      <c r="M281">
        <v>10</v>
      </c>
    </row>
    <row r="282" spans="5:13" x14ac:dyDescent="0.35">
      <c r="E282" t="str">
        <v>Average</v>
      </c>
      <c r="F282" t="str" cm="1">
        <f t="array" ref="F282">IF(AND(tbl_Lifestyle[absences]&gt;15,tbl_Grades[final_grade]&lt;10),"At Risk","OK")</f>
        <v>OK</v>
      </c>
      <c r="L282">
        <v>6</v>
      </c>
      <c r="M282">
        <v>7</v>
      </c>
    </row>
    <row r="283" spans="5:13" x14ac:dyDescent="0.35">
      <c r="E283" t="str">
        <v>Average</v>
      </c>
      <c r="F283" t="str" cm="1">
        <f t="array" ref="F283">IF(AND(tbl_Lifestyle[absences]&gt;15,tbl_Grades[final_grade]&lt;10),"At Risk","OK")</f>
        <v>OK</v>
      </c>
      <c r="L283">
        <v>10</v>
      </c>
      <c r="M283">
        <v>8</v>
      </c>
    </row>
    <row r="284" spans="5:13" x14ac:dyDescent="0.35">
      <c r="E284" t="str">
        <v>Average</v>
      </c>
      <c r="F284" t="str" cm="1">
        <f t="array" ref="F284">IF(AND(tbl_Lifestyle[absences]&gt;15,tbl_Grades[final_grade]&lt;10),"At Risk","OK")</f>
        <v>OK</v>
      </c>
      <c r="L284">
        <v>13</v>
      </c>
      <c r="M284">
        <v>13</v>
      </c>
    </row>
    <row r="285" spans="5:13" x14ac:dyDescent="0.35">
      <c r="E285" t="str">
        <v>Average</v>
      </c>
      <c r="F285" t="str" cm="1">
        <f t="array" ref="F285">IF(AND(tbl_Lifestyle[absences]&gt;15,tbl_Grades[final_grade]&lt;10),"At Risk","OK")</f>
        <v>OK</v>
      </c>
      <c r="L285">
        <v>0</v>
      </c>
      <c r="M285">
        <v>14</v>
      </c>
    </row>
    <row r="286" spans="5:13" x14ac:dyDescent="0.35">
      <c r="E286" t="str">
        <v>Average</v>
      </c>
      <c r="F286" t="str" cm="1">
        <f t="array" ref="F286">IF(AND(tbl_Lifestyle[absences]&gt;15,tbl_Grades[final_grade]&lt;10),"At Risk","OK")</f>
        <v>OK</v>
      </c>
      <c r="L286">
        <v>15</v>
      </c>
      <c r="M286">
        <v>8</v>
      </c>
    </row>
    <row r="287" spans="5:13" x14ac:dyDescent="0.35">
      <c r="E287" t="str">
        <v>Average</v>
      </c>
      <c r="F287" t="str" cm="1">
        <f t="array" ref="F287">IF(AND(tbl_Lifestyle[absences]&gt;15,tbl_Grades[final_grade]&lt;10),"At Risk","OK")</f>
        <v>OK</v>
      </c>
      <c r="L287">
        <v>12</v>
      </c>
      <c r="M287">
        <v>10</v>
      </c>
    </row>
    <row r="288" spans="5:13" x14ac:dyDescent="0.35">
      <c r="E288" t="str">
        <v>Average</v>
      </c>
      <c r="F288" t="str" cm="1">
        <f t="array" ref="F288">IF(AND(tbl_Lifestyle[absences]&gt;15,tbl_Grades[final_grade]&lt;10),"At Risk","OK")</f>
        <v>OK</v>
      </c>
      <c r="L288">
        <v>2</v>
      </c>
      <c r="M288">
        <v>15</v>
      </c>
    </row>
    <row r="289" spans="5:13" x14ac:dyDescent="0.35">
      <c r="E289" t="str">
        <v>Excellent</v>
      </c>
      <c r="F289" t="str" cm="1">
        <f t="array" ref="F289">IF(AND(tbl_Lifestyle[absences]&gt;15,tbl_Grades[final_grade]&lt;10),"At Risk","OK")</f>
        <v>OK</v>
      </c>
      <c r="L289">
        <v>0</v>
      </c>
      <c r="M289">
        <v>0</v>
      </c>
    </row>
    <row r="290" spans="5:13" x14ac:dyDescent="0.35">
      <c r="E290" t="str">
        <v>Average</v>
      </c>
      <c r="F290" t="str" cm="1">
        <f t="array" ref="F290">IF(AND(tbl_Lifestyle[absences]&gt;15,tbl_Grades[final_grade]&lt;10),"At Risk","OK")</f>
        <v>OK</v>
      </c>
      <c r="L290">
        <v>13</v>
      </c>
      <c r="M290">
        <v>8</v>
      </c>
    </row>
    <row r="291" spans="5:13" x14ac:dyDescent="0.35">
      <c r="E291" t="str">
        <v>Good</v>
      </c>
      <c r="F291" t="str" cm="1">
        <f t="array" ref="F291">IF(AND(tbl_Lifestyle[absences]&gt;15,tbl_Grades[final_grade]&lt;10),"At Risk","OK")</f>
        <v>OK</v>
      </c>
      <c r="L291">
        <v>3</v>
      </c>
      <c r="M291">
        <v>8</v>
      </c>
    </row>
    <row r="292" spans="5:13" x14ac:dyDescent="0.35">
      <c r="E292" t="str">
        <v>Good</v>
      </c>
      <c r="F292" t="str" cm="1">
        <f t="array" ref="F292">IF(AND(tbl_Lifestyle[absences]&gt;15,tbl_Grades[final_grade]&lt;10),"At Risk","OK")</f>
        <v>OK</v>
      </c>
      <c r="L292">
        <v>4</v>
      </c>
      <c r="M292">
        <v>10</v>
      </c>
    </row>
    <row r="293" spans="5:13" x14ac:dyDescent="0.35">
      <c r="E293" t="str">
        <v>Average</v>
      </c>
      <c r="F293" t="str" cm="1">
        <f t="array" ref="F293">IF(AND(tbl_Lifestyle[absences]&gt;15,tbl_Grades[final_grade]&lt;10),"At Risk","OK")</f>
        <v>OK</v>
      </c>
      <c r="L293">
        <v>2</v>
      </c>
      <c r="M293">
        <v>6</v>
      </c>
    </row>
    <row r="294" spans="5:13" x14ac:dyDescent="0.35">
      <c r="E294" t="str">
        <v>Good</v>
      </c>
      <c r="F294" t="str" cm="1">
        <f t="array" ref="F294">IF(AND(tbl_Lifestyle[absences]&gt;15,tbl_Grades[final_grade]&lt;10),"At Risk","OK")</f>
        <v>OK</v>
      </c>
      <c r="L294">
        <v>0</v>
      </c>
      <c r="M294">
        <v>0</v>
      </c>
    </row>
    <row r="295" spans="5:13" x14ac:dyDescent="0.35">
      <c r="E295" t="str">
        <v>Good</v>
      </c>
      <c r="F295" t="str" cm="1">
        <f t="array" ref="F295">IF(AND(tbl_Lifestyle[absences]&gt;15,tbl_Grades[final_grade]&lt;10),"At Risk","OK")</f>
        <v>OK</v>
      </c>
      <c r="L295">
        <v>2</v>
      </c>
      <c r="M295">
        <v>17</v>
      </c>
    </row>
    <row r="296" spans="5:13" x14ac:dyDescent="0.35">
      <c r="E296" t="str">
        <v>Excellent</v>
      </c>
      <c r="F296" t="str" cm="1">
        <f t="array" ref="F296">IF(AND(tbl_Lifestyle[absences]&gt;15,tbl_Grades[final_grade]&lt;10),"At Risk","OK")</f>
        <v>OK</v>
      </c>
      <c r="L296">
        <v>0</v>
      </c>
      <c r="M296">
        <v>13</v>
      </c>
    </row>
    <row r="297" spans="5:13" x14ac:dyDescent="0.35">
      <c r="E297" t="str">
        <v>Good</v>
      </c>
      <c r="F297" t="str" cm="1">
        <f t="array" ref="F297">IF(AND(tbl_Lifestyle[absences]&gt;15,tbl_Grades[final_grade]&lt;10),"At Risk","OK")</f>
        <v>OK</v>
      </c>
      <c r="L297">
        <v>0</v>
      </c>
      <c r="M297">
        <v>14</v>
      </c>
    </row>
    <row r="298" spans="5:13" x14ac:dyDescent="0.35">
      <c r="E298" t="str">
        <v>Average</v>
      </c>
      <c r="F298" t="str" cm="1">
        <f t="array" ref="F298">IF(AND(tbl_Lifestyle[absences]&gt;15,tbl_Grades[final_grade]&lt;10),"At Risk","OK")</f>
        <v>OK</v>
      </c>
      <c r="L298">
        <v>16</v>
      </c>
      <c r="M298">
        <v>7</v>
      </c>
    </row>
    <row r="299" spans="5:13" x14ac:dyDescent="0.35">
      <c r="E299" t="str">
        <v>Below Average</v>
      </c>
      <c r="F299" t="str" cm="1">
        <f t="array" ref="F299">IF(AND(tbl_Lifestyle[absences]&gt;15,tbl_Grades[final_grade]&lt;10),"At Risk","OK")</f>
        <v>OK</v>
      </c>
      <c r="L299">
        <v>10</v>
      </c>
      <c r="M299">
        <v>15</v>
      </c>
    </row>
    <row r="300" spans="5:13" x14ac:dyDescent="0.35">
      <c r="E300" t="str">
        <v>Average</v>
      </c>
      <c r="F300" t="str" cm="1">
        <f t="array" ref="F300">IF(AND(tbl_Lifestyle[absences]&gt;15,tbl_Grades[final_grade]&lt;10),"At Risk","OK")</f>
        <v>OK</v>
      </c>
      <c r="L300">
        <v>2</v>
      </c>
      <c r="M300">
        <v>12</v>
      </c>
    </row>
    <row r="301" spans="5:13" x14ac:dyDescent="0.35">
      <c r="E301" t="str">
        <v>Good</v>
      </c>
      <c r="F301" t="str" cm="1">
        <f t="array" ref="F301">IF(AND(tbl_Lifestyle[absences]&gt;15,tbl_Grades[final_grade]&lt;10),"At Risk","OK")</f>
        <v>OK</v>
      </c>
      <c r="L301">
        <v>14</v>
      </c>
      <c r="M301">
        <v>9</v>
      </c>
    </row>
    <row r="302" spans="5:13" x14ac:dyDescent="0.35">
      <c r="E302" t="str">
        <v>Excellent</v>
      </c>
      <c r="F302" t="str" cm="1">
        <f t="array" ref="F302">IF(AND(tbl_Lifestyle[absences]&gt;15,tbl_Grades[final_grade]&lt;10),"At Risk","OK")</f>
        <v>OK</v>
      </c>
      <c r="L302">
        <v>10</v>
      </c>
      <c r="M302">
        <v>12</v>
      </c>
    </row>
    <row r="303" spans="5:13" x14ac:dyDescent="0.35">
      <c r="E303" t="str">
        <v>Average</v>
      </c>
      <c r="F303" t="str" cm="1">
        <f t="array" ref="F303">IF(AND(tbl_Lifestyle[absences]&gt;15,tbl_Grades[final_grade]&lt;10),"At Risk","OK")</f>
        <v>OK</v>
      </c>
      <c r="L303">
        <v>14</v>
      </c>
      <c r="M303">
        <v>14</v>
      </c>
    </row>
    <row r="304" spans="5:13" x14ac:dyDescent="0.35">
      <c r="E304" t="str">
        <v>Average</v>
      </c>
      <c r="F304" t="str" cm="1">
        <f t="array" ref="F304">IF(AND(tbl_Lifestyle[absences]&gt;15,tbl_Grades[final_grade]&lt;10),"At Risk","OK")</f>
        <v>OK</v>
      </c>
      <c r="L304">
        <v>4</v>
      </c>
      <c r="M304">
        <v>11</v>
      </c>
    </row>
    <row r="305" spans="5:13" x14ac:dyDescent="0.35">
      <c r="E305" t="str">
        <v>Good</v>
      </c>
      <c r="F305" t="str" cm="1">
        <f t="array" ref="F305">IF(AND(tbl_Lifestyle[absences]&gt;15,tbl_Grades[final_grade]&lt;10),"At Risk","OK")</f>
        <v>OK</v>
      </c>
      <c r="L305">
        <v>14</v>
      </c>
      <c r="M305">
        <v>9</v>
      </c>
    </row>
    <row r="306" spans="5:13" x14ac:dyDescent="0.35">
      <c r="E306" t="str">
        <v>Excellent</v>
      </c>
      <c r="F306" t="str" cm="1">
        <f t="array" ref="F306">IF(AND(tbl_Lifestyle[absences]&gt;15,tbl_Grades[final_grade]&lt;10),"At Risk","OK")</f>
        <v>OK</v>
      </c>
      <c r="L306">
        <v>2</v>
      </c>
      <c r="M306">
        <v>13</v>
      </c>
    </row>
    <row r="307" spans="5:13" x14ac:dyDescent="0.35">
      <c r="E307" t="str">
        <v>Good</v>
      </c>
      <c r="F307" t="str" cm="1">
        <f t="array" ref="F307">IF(AND(tbl_Lifestyle[absences]&gt;15,tbl_Grades[final_grade]&lt;10),"At Risk","OK")</f>
        <v>OK</v>
      </c>
      <c r="L307">
        <v>18</v>
      </c>
      <c r="M307">
        <v>6</v>
      </c>
    </row>
    <row r="308" spans="5:13" x14ac:dyDescent="0.35">
      <c r="E308" t="str">
        <v>Below Average</v>
      </c>
      <c r="F308" t="str" cm="1">
        <f t="array" ref="F308">IF(AND(tbl_Lifestyle[absences]&gt;15,tbl_Grades[final_grade]&lt;10),"At Risk","OK")</f>
        <v>OK</v>
      </c>
      <c r="L308">
        <v>10</v>
      </c>
      <c r="M308">
        <v>10</v>
      </c>
    </row>
    <row r="309" spans="5:13" x14ac:dyDescent="0.35">
      <c r="E309" t="str">
        <v>Excellent</v>
      </c>
      <c r="F309" t="str" cm="1">
        <f t="array" ref="F309">IF(AND(tbl_Lifestyle[absences]&gt;15,tbl_Grades[final_grade]&lt;10),"At Risk","OK")</f>
        <v>OK</v>
      </c>
      <c r="L309">
        <v>4</v>
      </c>
      <c r="M309">
        <v>13</v>
      </c>
    </row>
    <row r="310" spans="5:13" x14ac:dyDescent="0.35">
      <c r="E310" t="str">
        <v>Average</v>
      </c>
      <c r="F310" t="str" cm="1">
        <f t="array" ref="F310">IF(AND(tbl_Lifestyle[absences]&gt;15,tbl_Grades[final_grade]&lt;10),"At Risk","OK")</f>
        <v>OK</v>
      </c>
      <c r="L310">
        <v>20</v>
      </c>
      <c r="M310">
        <v>12</v>
      </c>
    </row>
    <row r="311" spans="5:13" x14ac:dyDescent="0.35">
      <c r="E311" t="str">
        <v>Average</v>
      </c>
      <c r="F311" t="str" cm="1">
        <f t="array" ref="F311">IF(AND(tbl_Lifestyle[absences]&gt;15,tbl_Grades[final_grade]&lt;10),"At Risk","OK")</f>
        <v>OK</v>
      </c>
      <c r="L311">
        <v>2</v>
      </c>
      <c r="M311">
        <v>11</v>
      </c>
    </row>
    <row r="312" spans="5:13" x14ac:dyDescent="0.35">
      <c r="E312" t="str">
        <v>Average</v>
      </c>
      <c r="F312" t="str" cm="1">
        <f t="array" ref="F312">IF(AND(tbl_Lifestyle[absences]&gt;15,tbl_Grades[final_grade]&lt;10),"At Risk","OK")</f>
        <v>OK</v>
      </c>
      <c r="L312">
        <v>0</v>
      </c>
      <c r="M312">
        <v>0</v>
      </c>
    </row>
    <row r="313" spans="5:13" x14ac:dyDescent="0.35">
      <c r="E313" t="str">
        <v>Below Average</v>
      </c>
      <c r="F313" t="str" cm="1">
        <f t="array" ref="F313">IF(AND(tbl_Lifestyle[absences]&gt;15,tbl_Grades[final_grade]&lt;10),"At Risk","OK")</f>
        <v>OK</v>
      </c>
      <c r="L313">
        <v>14</v>
      </c>
      <c r="M313">
        <v>12</v>
      </c>
    </row>
    <row r="314" spans="5:13" x14ac:dyDescent="0.35">
      <c r="E314" t="str">
        <v>Good</v>
      </c>
      <c r="F314" t="str" cm="1">
        <f t="array" ref="F314">IF(AND(tbl_Lifestyle[absences]&gt;15,tbl_Grades[final_grade]&lt;10),"At Risk","OK")</f>
        <v>OK</v>
      </c>
      <c r="L314">
        <v>2</v>
      </c>
      <c r="M314">
        <v>12</v>
      </c>
    </row>
    <row r="315" spans="5:13" x14ac:dyDescent="0.35">
      <c r="E315" t="str">
        <v>Average</v>
      </c>
      <c r="F315" t="str" cm="1">
        <f t="array" ref="F315">IF(AND(tbl_Lifestyle[absences]&gt;15,tbl_Grades[final_grade]&lt;10),"At Risk","OK")</f>
        <v>OK</v>
      </c>
      <c r="L315">
        <v>0</v>
      </c>
      <c r="M315">
        <v>0</v>
      </c>
    </row>
    <row r="316" spans="5:13" x14ac:dyDescent="0.35">
      <c r="E316" t="str">
        <v>Average</v>
      </c>
      <c r="F316" t="str" cm="1">
        <f t="array" ref="F316">IF(AND(tbl_Lifestyle[absences]&gt;15,tbl_Grades[final_grade]&lt;10),"At Risk","OK")</f>
        <v>OK</v>
      </c>
      <c r="L316">
        <v>0</v>
      </c>
      <c r="M316">
        <v>12</v>
      </c>
    </row>
    <row r="317" spans="5:13" x14ac:dyDescent="0.35">
      <c r="E317" t="str">
        <v>Good</v>
      </c>
      <c r="F317" t="str" cm="1">
        <f t="array" ref="F317">IF(AND(tbl_Lifestyle[absences]&gt;15,tbl_Grades[final_grade]&lt;10),"At Risk","OK")</f>
        <v>OK</v>
      </c>
      <c r="L317">
        <v>0</v>
      </c>
      <c r="M317">
        <v>0</v>
      </c>
    </row>
    <row r="318" spans="5:13" x14ac:dyDescent="0.35">
      <c r="E318" t="str">
        <v>Average</v>
      </c>
      <c r="F318" t="str" cm="1">
        <f t="array" ref="F318">IF(AND(tbl_Lifestyle[absences]&gt;15,tbl_Grades[final_grade]&lt;10),"At Risk","OK")</f>
        <v>OK</v>
      </c>
      <c r="L318">
        <v>6</v>
      </c>
      <c r="M318">
        <v>18</v>
      </c>
    </row>
    <row r="319" spans="5:13" x14ac:dyDescent="0.35">
      <c r="E319" t="str">
        <v>Below Average</v>
      </c>
      <c r="F319" t="str" cm="1">
        <f t="array" ref="F319">IF(AND(tbl_Lifestyle[absences]&gt;15,tbl_Grades[final_grade]&lt;10),"At Risk","OK")</f>
        <v>OK</v>
      </c>
      <c r="L319">
        <v>4</v>
      </c>
      <c r="M319">
        <v>13</v>
      </c>
    </row>
    <row r="320" spans="5:13" x14ac:dyDescent="0.35">
      <c r="E320" t="str">
        <v>Average</v>
      </c>
      <c r="F320" t="str" cm="1">
        <f t="array" ref="F320">IF(AND(tbl_Lifestyle[absences]&gt;15,tbl_Grades[final_grade]&lt;10),"At Risk","OK")</f>
        <v>OK</v>
      </c>
      <c r="L320">
        <v>16</v>
      </c>
      <c r="M320">
        <v>8</v>
      </c>
    </row>
    <row r="321" spans="5:13" x14ac:dyDescent="0.35">
      <c r="E321" t="str">
        <v>Average</v>
      </c>
      <c r="F321" t="str" cm="1">
        <f t="array" ref="F321">IF(AND(tbl_Lifestyle[absences]&gt;15,tbl_Grades[final_grade]&lt;10),"At Risk","OK")</f>
        <v>OK</v>
      </c>
      <c r="L321">
        <v>8</v>
      </c>
      <c r="M321">
        <v>5</v>
      </c>
    </row>
    <row r="322" spans="5:13" x14ac:dyDescent="0.35">
      <c r="E322" t="str">
        <v>Average</v>
      </c>
      <c r="F322" t="str" cm="1">
        <f t="array" ref="F322">IF(AND(tbl_Lifestyle[absences]&gt;15,tbl_Grades[final_grade]&lt;10),"At Risk","OK")</f>
        <v>OK</v>
      </c>
      <c r="L322">
        <v>0</v>
      </c>
      <c r="M322">
        <v>15</v>
      </c>
    </row>
    <row r="323" spans="5:13" x14ac:dyDescent="0.35">
      <c r="E323" t="str">
        <v>Good</v>
      </c>
      <c r="F323" t="str" cm="1">
        <f t="array" ref="F323">IF(AND(tbl_Lifestyle[absences]&gt;15,tbl_Grades[final_grade]&lt;10),"At Risk","OK")</f>
        <v>OK</v>
      </c>
      <c r="L323">
        <v>0</v>
      </c>
      <c r="M323">
        <v>8</v>
      </c>
    </row>
    <row r="324" spans="5:13" x14ac:dyDescent="0.35">
      <c r="E324" t="str">
        <v>Average</v>
      </c>
      <c r="F324" t="str" cm="1">
        <f t="array" ref="F324">IF(AND(tbl_Lifestyle[absences]&gt;15,tbl_Grades[final_grade]&lt;10),"At Risk","OK")</f>
        <v>OK</v>
      </c>
      <c r="L324">
        <v>6</v>
      </c>
      <c r="M324">
        <v>10</v>
      </c>
    </row>
    <row r="325" spans="5:13" x14ac:dyDescent="0.35">
      <c r="E325" t="str">
        <v>Average</v>
      </c>
      <c r="F325" t="str" cm="1">
        <f t="array" ref="F325">IF(AND(tbl_Lifestyle[absences]&gt;15,tbl_Grades[final_grade]&lt;10),"At Risk","OK")</f>
        <v>OK</v>
      </c>
      <c r="L325">
        <v>4</v>
      </c>
      <c r="M325">
        <v>8</v>
      </c>
    </row>
    <row r="326" spans="5:13" x14ac:dyDescent="0.35">
      <c r="E326" t="str">
        <v>Good</v>
      </c>
      <c r="F326" t="str" cm="1">
        <f t="array" ref="F326">IF(AND(tbl_Lifestyle[absences]&gt;15,tbl_Grades[final_grade]&lt;10),"At Risk","OK")</f>
        <v>OK</v>
      </c>
      <c r="L326">
        <v>0</v>
      </c>
      <c r="M326">
        <v>8</v>
      </c>
    </row>
    <row r="327" spans="5:13" x14ac:dyDescent="0.35">
      <c r="E327" t="str">
        <v>Good</v>
      </c>
      <c r="F327" t="str" cm="1">
        <f t="array" ref="F327">IF(AND(tbl_Lifestyle[absences]&gt;15,tbl_Grades[final_grade]&lt;10),"At Risk","OK")</f>
        <v>OK</v>
      </c>
      <c r="L327">
        <v>0</v>
      </c>
      <c r="M327">
        <v>12</v>
      </c>
    </row>
    <row r="328" spans="5:13" x14ac:dyDescent="0.35">
      <c r="E328" t="str">
        <v>Average</v>
      </c>
      <c r="F328" t="str" cm="1">
        <f t="array" ref="F328">IF(AND(tbl_Lifestyle[absences]&gt;15,tbl_Grades[final_grade]&lt;10),"At Risk","OK")</f>
        <v>OK</v>
      </c>
      <c r="L328">
        <v>2</v>
      </c>
      <c r="M328">
        <v>8</v>
      </c>
    </row>
    <row r="329" spans="5:13" x14ac:dyDescent="0.35">
      <c r="E329" t="str">
        <v>Excellent</v>
      </c>
      <c r="F329" t="str" cm="1">
        <f t="array" ref="F329">IF(AND(tbl_Lifestyle[absences]&gt;15,tbl_Grades[final_grade]&lt;10),"At Risk","OK")</f>
        <v>OK</v>
      </c>
      <c r="L329">
        <v>6</v>
      </c>
      <c r="M329">
        <v>13</v>
      </c>
    </row>
    <row r="330" spans="5:13" x14ac:dyDescent="0.35">
      <c r="E330" t="str">
        <v>Average</v>
      </c>
      <c r="F330" t="str" cm="1">
        <f t="array" ref="F330">IF(AND(tbl_Lifestyle[absences]&gt;15,tbl_Grades[final_grade]&lt;10),"At Risk","OK")</f>
        <v>OK</v>
      </c>
      <c r="L330">
        <v>12</v>
      </c>
      <c r="M330">
        <v>11</v>
      </c>
    </row>
    <row r="331" spans="5:13" x14ac:dyDescent="0.35">
      <c r="E331" t="str">
        <v>Average</v>
      </c>
      <c r="F331" t="str" cm="1">
        <f t="array" ref="F331">IF(AND(tbl_Lifestyle[absences]&gt;15,tbl_Grades[final_grade]&lt;10),"At Risk","OK")</f>
        <v>OK</v>
      </c>
      <c r="L331">
        <v>8</v>
      </c>
      <c r="M331">
        <v>14</v>
      </c>
    </row>
    <row r="332" spans="5:13" x14ac:dyDescent="0.35">
      <c r="E332" t="str">
        <v>Good</v>
      </c>
      <c r="F332" t="str" cm="1">
        <f t="array" ref="F332">IF(AND(tbl_Lifestyle[absences]&gt;15,tbl_Grades[final_grade]&lt;10),"At Risk","OK")</f>
        <v>OK</v>
      </c>
      <c r="L332">
        <v>0</v>
      </c>
      <c r="M332">
        <v>0</v>
      </c>
    </row>
    <row r="333" spans="5:13" x14ac:dyDescent="0.35">
      <c r="E333" t="str">
        <v>Average</v>
      </c>
      <c r="F333" t="str" cm="1">
        <f t="array" ref="F333">IF(AND(tbl_Lifestyle[absences]&gt;15,tbl_Grades[final_grade]&lt;10),"At Risk","OK")</f>
        <v>OK</v>
      </c>
      <c r="L333">
        <v>21</v>
      </c>
      <c r="M333">
        <v>18</v>
      </c>
    </row>
    <row r="334" spans="5:13" x14ac:dyDescent="0.35">
      <c r="E334" t="str">
        <v>Good</v>
      </c>
      <c r="F334" t="str" cm="1">
        <f t="array" ref="F334">IF(AND(tbl_Lifestyle[absences]&gt;15,tbl_Grades[final_grade]&lt;10),"At Risk","OK")</f>
        <v>OK</v>
      </c>
      <c r="L334">
        <v>2</v>
      </c>
      <c r="M334">
        <v>8</v>
      </c>
    </row>
    <row r="335" spans="5:13" x14ac:dyDescent="0.35">
      <c r="E335" t="str">
        <v>Below Average</v>
      </c>
      <c r="F335" t="str" cm="1">
        <f t="array" ref="F335">IF(AND(tbl_Lifestyle[absences]&gt;15,tbl_Grades[final_grade]&lt;10),"At Risk","OK")</f>
        <v>OK</v>
      </c>
      <c r="L335">
        <v>1</v>
      </c>
      <c r="M335">
        <v>12</v>
      </c>
    </row>
    <row r="336" spans="5:13" x14ac:dyDescent="0.35">
      <c r="E336" t="str">
        <v>Below Average</v>
      </c>
      <c r="F336" t="str" cm="1">
        <f t="array" ref="F336">IF(AND(tbl_Lifestyle[absences]&gt;15,tbl_Grades[final_grade]&lt;10),"At Risk","OK")</f>
        <v>OK</v>
      </c>
      <c r="L336">
        <v>4</v>
      </c>
      <c r="M336">
        <v>9</v>
      </c>
    </row>
    <row r="337" spans="5:13" x14ac:dyDescent="0.35">
      <c r="E337" t="str">
        <v>Below Average</v>
      </c>
      <c r="F337" t="str" cm="1">
        <f t="array" ref="F337">IF(AND(tbl_Lifestyle[absences]&gt;15,tbl_Grades[final_grade]&lt;10),"At Risk","OK")</f>
        <v>OK</v>
      </c>
      <c r="L337">
        <v>0</v>
      </c>
      <c r="M337">
        <v>0</v>
      </c>
    </row>
    <row r="338" spans="5:13" x14ac:dyDescent="0.35">
      <c r="E338" t="str">
        <v>Good</v>
      </c>
      <c r="F338" t="str" cm="1">
        <f t="array" ref="F338">IF(AND(tbl_Lifestyle[absences]&gt;15,tbl_Grades[final_grade]&lt;10),"At Risk","OK")</f>
        <v>OK</v>
      </c>
      <c r="L338">
        <v>13</v>
      </c>
      <c r="M338">
        <v>17</v>
      </c>
    </row>
    <row r="339" spans="5:13" x14ac:dyDescent="0.35">
      <c r="E339" t="str">
        <v>Good</v>
      </c>
      <c r="F339" t="str" cm="1">
        <f t="array" ref="F339">IF(AND(tbl_Lifestyle[absences]&gt;15,tbl_Grades[final_grade]&lt;10),"At Risk","OK")</f>
        <v>OK</v>
      </c>
      <c r="L339">
        <v>2</v>
      </c>
      <c r="M339">
        <v>10</v>
      </c>
    </row>
    <row r="340" spans="5:13" x14ac:dyDescent="0.35">
      <c r="E340" t="str">
        <v>Below Average</v>
      </c>
      <c r="F340" t="str" cm="1">
        <f t="array" ref="F340">IF(AND(tbl_Lifestyle[absences]&gt;15,tbl_Grades[final_grade]&lt;10),"At Risk","OK")</f>
        <v>OK</v>
      </c>
      <c r="L340">
        <v>8</v>
      </c>
      <c r="M340">
        <v>11</v>
      </c>
    </row>
    <row r="341" spans="5:13" x14ac:dyDescent="0.35">
      <c r="E341" t="str">
        <v>Excellent</v>
      </c>
      <c r="F341" t="str" cm="1">
        <f t="array" ref="F341">IF(AND(tbl_Lifestyle[absences]&gt;15,tbl_Grades[final_grade]&lt;10),"At Risk","OK")</f>
        <v>OK</v>
      </c>
      <c r="L341">
        <v>10</v>
      </c>
      <c r="M341">
        <v>10</v>
      </c>
    </row>
    <row r="342" spans="5:13" x14ac:dyDescent="0.35">
      <c r="E342" t="str">
        <v>Average</v>
      </c>
      <c r="F342" t="str" cm="1">
        <f t="array" ref="F342">IF(AND(tbl_Lifestyle[absences]&gt;15,tbl_Grades[final_grade]&lt;10),"At Risk","OK")</f>
        <v>OK</v>
      </c>
      <c r="L342">
        <v>0</v>
      </c>
      <c r="M342">
        <v>0</v>
      </c>
    </row>
    <row r="343" spans="5:13" x14ac:dyDescent="0.35">
      <c r="E343" t="str">
        <v>Average</v>
      </c>
      <c r="F343" t="str" cm="1">
        <f t="array" ref="F343">IF(AND(tbl_Lifestyle[absences]&gt;15,tbl_Grades[final_grade]&lt;10),"At Risk","OK")</f>
        <v>OK</v>
      </c>
      <c r="L343">
        <v>15</v>
      </c>
      <c r="M343">
        <v>0</v>
      </c>
    </row>
    <row r="344" spans="5:13" x14ac:dyDescent="0.35">
      <c r="E344" t="str">
        <v>Below Average</v>
      </c>
      <c r="F344" t="str" cm="1">
        <f t="array" ref="F344">IF(AND(tbl_Lifestyle[absences]&gt;15,tbl_Grades[final_grade]&lt;10),"At Risk","OK")</f>
        <v>OK</v>
      </c>
      <c r="L344">
        <v>4</v>
      </c>
      <c r="M344">
        <v>14</v>
      </c>
    </row>
    <row r="345" spans="5:13" x14ac:dyDescent="0.35">
      <c r="E345" t="str">
        <v>Good</v>
      </c>
      <c r="F345" t="str" cm="1">
        <f t="array" ref="F345">IF(AND(tbl_Lifestyle[absences]&gt;15,tbl_Grades[final_grade]&lt;10),"At Risk","OK")</f>
        <v>OK</v>
      </c>
      <c r="L345">
        <v>2</v>
      </c>
      <c r="M345">
        <v>11</v>
      </c>
    </row>
    <row r="346" spans="5:13" x14ac:dyDescent="0.35">
      <c r="E346" t="str">
        <v>Below Average</v>
      </c>
      <c r="F346" t="str" cm="1">
        <f t="array" ref="F346">IF(AND(tbl_Lifestyle[absences]&gt;15,tbl_Grades[final_grade]&lt;10),"At Risk","OK")</f>
        <v>OK</v>
      </c>
      <c r="L346">
        <v>2</v>
      </c>
      <c r="M346">
        <v>14</v>
      </c>
    </row>
    <row r="347" spans="5:13" x14ac:dyDescent="0.35">
      <c r="E347" t="str">
        <v>Average</v>
      </c>
      <c r="F347" t="str" cm="1">
        <f t="array" ref="F347">IF(AND(tbl_Lifestyle[absences]&gt;15,tbl_Grades[final_grade]&lt;10),"At Risk","OK")</f>
        <v>OK</v>
      </c>
      <c r="L347">
        <v>2</v>
      </c>
      <c r="M347">
        <v>10</v>
      </c>
    </row>
    <row r="348" spans="5:13" x14ac:dyDescent="0.35">
      <c r="E348" t="str">
        <v>Good</v>
      </c>
      <c r="F348" t="str" cm="1">
        <f t="array" ref="F348">IF(AND(tbl_Lifestyle[absences]&gt;15,tbl_Grades[final_grade]&lt;10),"At Risk","OK")</f>
        <v>OK</v>
      </c>
      <c r="L348">
        <v>0</v>
      </c>
      <c r="M348">
        <v>12</v>
      </c>
    </row>
    <row r="349" spans="5:13" x14ac:dyDescent="0.35">
      <c r="E349" t="str">
        <v>Excellent</v>
      </c>
      <c r="F349" t="str" cm="1">
        <f t="array" ref="F349">IF(AND(tbl_Lifestyle[absences]&gt;15,tbl_Grades[final_grade]&lt;10),"At Risk","OK")</f>
        <v>OK</v>
      </c>
      <c r="L349">
        <v>75</v>
      </c>
      <c r="M349">
        <v>9</v>
      </c>
    </row>
    <row r="350" spans="5:13" x14ac:dyDescent="0.35">
      <c r="E350" t="str">
        <v>Average</v>
      </c>
      <c r="F350" t="str" cm="1">
        <f t="array" ref="F350">IF(AND(tbl_Lifestyle[absences]&gt;15,tbl_Grades[final_grade]&lt;10),"At Risk","OK")</f>
        <v>OK</v>
      </c>
      <c r="L350">
        <v>22</v>
      </c>
      <c r="M350">
        <v>9</v>
      </c>
    </row>
    <row r="351" spans="5:13" x14ac:dyDescent="0.35">
      <c r="E351" t="str">
        <v>Below Average</v>
      </c>
      <c r="F351" t="str" cm="1">
        <f t="array" ref="F351">IF(AND(tbl_Lifestyle[absences]&gt;15,tbl_Grades[final_grade]&lt;10),"At Risk","OK")</f>
        <v>OK</v>
      </c>
      <c r="L351">
        <v>15</v>
      </c>
      <c r="M351">
        <v>8</v>
      </c>
    </row>
    <row r="352" spans="5:13" x14ac:dyDescent="0.35">
      <c r="E352" t="str">
        <v>Good</v>
      </c>
      <c r="F352" t="str" cm="1">
        <f t="array" ref="F352">IF(AND(tbl_Lifestyle[absences]&gt;15,tbl_Grades[final_grade]&lt;10),"At Risk","OK")</f>
        <v>OK</v>
      </c>
      <c r="L352">
        <v>8</v>
      </c>
      <c r="M352">
        <v>10</v>
      </c>
    </row>
    <row r="353" spans="5:13" x14ac:dyDescent="0.35">
      <c r="E353" t="str">
        <v>Average</v>
      </c>
      <c r="F353" t="str" cm="1">
        <f t="array" ref="F353">IF(AND(tbl_Lifestyle[absences]&gt;15,tbl_Grades[final_grade]&lt;10),"At Risk","OK")</f>
        <v>OK</v>
      </c>
      <c r="L353">
        <v>30</v>
      </c>
      <c r="M353">
        <v>8</v>
      </c>
    </row>
    <row r="354" spans="5:13" x14ac:dyDescent="0.35">
      <c r="E354" t="str">
        <v>Good</v>
      </c>
      <c r="F354" t="str" cm="1">
        <f t="array" ref="F354">IF(AND(tbl_Lifestyle[absences]&gt;15,tbl_Grades[final_grade]&lt;10),"At Risk","OK")</f>
        <v>OK</v>
      </c>
      <c r="L354">
        <v>19</v>
      </c>
      <c r="M354">
        <v>10</v>
      </c>
    </row>
    <row r="355" spans="5:13" x14ac:dyDescent="0.35">
      <c r="E355" t="str">
        <v>Average</v>
      </c>
      <c r="F355" t="str" cm="1">
        <f t="array" ref="F355">IF(AND(tbl_Lifestyle[absences]&gt;15,tbl_Grades[final_grade]&lt;10),"At Risk","OK")</f>
        <v>OK</v>
      </c>
      <c r="L355">
        <v>1</v>
      </c>
      <c r="M355">
        <v>12</v>
      </c>
    </row>
    <row r="356" spans="5:13" x14ac:dyDescent="0.35">
      <c r="E356" t="str">
        <v>Average</v>
      </c>
      <c r="F356" t="str" cm="1">
        <f t="array" ref="F356">IF(AND(tbl_Lifestyle[absences]&gt;15,tbl_Grades[final_grade]&lt;10),"At Risk","OK")</f>
        <v>OK</v>
      </c>
      <c r="L356">
        <v>4</v>
      </c>
      <c r="M356">
        <v>10</v>
      </c>
    </row>
    <row r="357" spans="5:13" x14ac:dyDescent="0.35">
      <c r="E357" t="str">
        <v>Average</v>
      </c>
      <c r="F357" t="str" cm="1">
        <f t="array" ref="F357">IF(AND(tbl_Lifestyle[absences]&gt;15,tbl_Grades[final_grade]&lt;10),"At Risk","OK")</f>
        <v>OK</v>
      </c>
      <c r="L357">
        <v>4</v>
      </c>
      <c r="M357">
        <v>11</v>
      </c>
    </row>
    <row r="358" spans="5:13" x14ac:dyDescent="0.35">
      <c r="E358" t="str">
        <v>Average</v>
      </c>
      <c r="F358" t="str" cm="1">
        <f t="array" ref="F358">IF(AND(tbl_Lifestyle[absences]&gt;15,tbl_Grades[final_grade]&lt;10),"At Risk","OK")</f>
        <v>OK</v>
      </c>
      <c r="L358">
        <v>2</v>
      </c>
      <c r="M358">
        <v>11</v>
      </c>
    </row>
    <row r="359" spans="5:13" x14ac:dyDescent="0.35">
      <c r="E359" t="str">
        <v>Good</v>
      </c>
      <c r="F359" t="str" cm="1">
        <f t="array" ref="F359">IF(AND(tbl_Lifestyle[absences]&gt;15,tbl_Grades[final_grade]&lt;10),"At Risk","OK")</f>
        <v>OK</v>
      </c>
      <c r="L359">
        <v>5</v>
      </c>
      <c r="M359">
        <v>19</v>
      </c>
    </row>
    <row r="360" spans="5:13" x14ac:dyDescent="0.35">
      <c r="E360" t="str">
        <v>Average</v>
      </c>
      <c r="F360" t="str" cm="1">
        <f t="array" ref="F360">IF(AND(tbl_Lifestyle[absences]&gt;15,tbl_Grades[final_grade]&lt;10),"At Risk","OK")</f>
        <v>OK</v>
      </c>
      <c r="L360">
        <v>0</v>
      </c>
      <c r="M360">
        <v>12</v>
      </c>
    </row>
    <row r="361" spans="5:13" x14ac:dyDescent="0.35">
      <c r="E361" t="str">
        <v>Average</v>
      </c>
      <c r="F361" t="str" cm="1">
        <f t="array" ref="F361">IF(AND(tbl_Lifestyle[absences]&gt;15,tbl_Grades[final_grade]&lt;10),"At Risk","OK")</f>
        <v>OK</v>
      </c>
      <c r="L361">
        <v>6</v>
      </c>
      <c r="M361">
        <v>14</v>
      </c>
    </row>
    <row r="362" spans="5:13" x14ac:dyDescent="0.35">
      <c r="E362" t="str">
        <v>Excellent</v>
      </c>
      <c r="F362" t="str" cm="1">
        <f t="array" ref="F362">IF(AND(tbl_Lifestyle[absences]&gt;15,tbl_Grades[final_grade]&lt;10),"At Risk","OK")</f>
        <v>OK</v>
      </c>
      <c r="L362">
        <v>9</v>
      </c>
      <c r="M362">
        <v>15</v>
      </c>
    </row>
    <row r="363" spans="5:13" x14ac:dyDescent="0.35">
      <c r="E363" t="str">
        <v>Good</v>
      </c>
      <c r="F363" t="str" cm="1">
        <f t="array" ref="F363">IF(AND(tbl_Lifestyle[absences]&gt;15,tbl_Grades[final_grade]&lt;10),"At Risk","OK")</f>
        <v>OK</v>
      </c>
      <c r="L363">
        <v>11</v>
      </c>
      <c r="M363">
        <v>11</v>
      </c>
    </row>
    <row r="364" spans="5:13" x14ac:dyDescent="0.35">
      <c r="E364" t="str">
        <v>Average</v>
      </c>
      <c r="F364" t="str" cm="1">
        <f t="array" ref="F364">IF(AND(tbl_Lifestyle[absences]&gt;15,tbl_Grades[final_grade]&lt;10),"At Risk","OK")</f>
        <v>OK</v>
      </c>
      <c r="L364">
        <v>0</v>
      </c>
      <c r="M364">
        <v>15</v>
      </c>
    </row>
    <row r="365" spans="5:13" x14ac:dyDescent="0.35">
      <c r="E365" t="str">
        <v>Average</v>
      </c>
      <c r="F365" t="str" cm="1">
        <f t="array" ref="F365">IF(AND(tbl_Lifestyle[absences]&gt;15,tbl_Grades[final_grade]&lt;10),"At Risk","OK")</f>
        <v>OK</v>
      </c>
      <c r="L365">
        <v>12</v>
      </c>
      <c r="M365">
        <v>13</v>
      </c>
    </row>
    <row r="366" spans="5:13" x14ac:dyDescent="0.35">
      <c r="E366" t="str">
        <v>Good</v>
      </c>
      <c r="F366" t="str" cm="1">
        <f t="array" ref="F366">IF(AND(tbl_Lifestyle[absences]&gt;15,tbl_Grades[final_grade]&lt;10),"At Risk","OK")</f>
        <v>OK</v>
      </c>
      <c r="L366">
        <v>6</v>
      </c>
      <c r="M366">
        <v>18</v>
      </c>
    </row>
    <row r="367" spans="5:13" x14ac:dyDescent="0.35">
      <c r="E367" t="str">
        <v>Average</v>
      </c>
      <c r="F367" t="str" cm="1">
        <f t="array" ref="F367">IF(AND(tbl_Lifestyle[absences]&gt;15,tbl_Grades[final_grade]&lt;10),"At Risk","OK")</f>
        <v>OK</v>
      </c>
      <c r="L367">
        <v>8</v>
      </c>
      <c r="M367">
        <v>14</v>
      </c>
    </row>
    <row r="368" spans="5:13" x14ac:dyDescent="0.35">
      <c r="E368" t="str">
        <v>Average</v>
      </c>
      <c r="F368" t="str" cm="1">
        <f t="array" ref="F368">IF(AND(tbl_Lifestyle[absences]&gt;15,tbl_Grades[final_grade]&lt;10),"At Risk","OK")</f>
        <v>OK</v>
      </c>
      <c r="L368">
        <v>4</v>
      </c>
      <c r="M368">
        <v>11</v>
      </c>
    </row>
    <row r="369" spans="5:13" x14ac:dyDescent="0.35">
      <c r="E369" t="str">
        <v>Good</v>
      </c>
      <c r="F369" t="str" cm="1">
        <f t="array" ref="F369">IF(AND(tbl_Lifestyle[absences]&gt;15,tbl_Grades[final_grade]&lt;10),"At Risk","OK")</f>
        <v>OK</v>
      </c>
      <c r="L369">
        <v>0</v>
      </c>
      <c r="M369">
        <v>0</v>
      </c>
    </row>
    <row r="370" spans="5:13" x14ac:dyDescent="0.35">
      <c r="E370" t="str">
        <v>Below Average</v>
      </c>
      <c r="F370" t="str" cm="1">
        <f t="array" ref="F370">IF(AND(tbl_Lifestyle[absences]&gt;15,tbl_Grades[final_grade]&lt;10),"At Risk","OK")</f>
        <v>OK</v>
      </c>
      <c r="L370">
        <v>10</v>
      </c>
      <c r="M370">
        <v>8</v>
      </c>
    </row>
    <row r="371" spans="5:13" x14ac:dyDescent="0.35">
      <c r="E371" t="str">
        <v>Average</v>
      </c>
      <c r="F371" t="str" cm="1">
        <f t="array" ref="F371">IF(AND(tbl_Lifestyle[absences]&gt;15,tbl_Grades[final_grade]&lt;10),"At Risk","OK")</f>
        <v>OK</v>
      </c>
      <c r="L371">
        <v>0</v>
      </c>
      <c r="M371">
        <v>14</v>
      </c>
    </row>
    <row r="372" spans="5:13" x14ac:dyDescent="0.35">
      <c r="E372" t="str">
        <v>Average</v>
      </c>
      <c r="F372" t="str" cm="1">
        <f t="array" ref="F372">IF(AND(tbl_Lifestyle[absences]&gt;15,tbl_Grades[final_grade]&lt;10),"At Risk","OK")</f>
        <v>OK</v>
      </c>
      <c r="L372">
        <v>5</v>
      </c>
      <c r="M372">
        <v>16</v>
      </c>
    </row>
    <row r="373" spans="5:13" x14ac:dyDescent="0.35">
      <c r="E373" t="str">
        <v>Average</v>
      </c>
      <c r="F373" t="str" cm="1">
        <f t="array" ref="F373">IF(AND(tbl_Lifestyle[absences]&gt;15,tbl_Grades[final_grade]&lt;10),"At Risk","OK")</f>
        <v>OK</v>
      </c>
      <c r="L373">
        <v>14</v>
      </c>
      <c r="M373">
        <v>11</v>
      </c>
    </row>
    <row r="374" spans="5:13" x14ac:dyDescent="0.35">
      <c r="E374" t="str">
        <v>Average</v>
      </c>
      <c r="F374" t="str" cm="1">
        <f t="array" ref="F374">IF(AND(tbl_Lifestyle[absences]&gt;15,tbl_Grades[final_grade]&lt;10),"At Risk","OK")</f>
        <v>OK</v>
      </c>
      <c r="L374">
        <v>0</v>
      </c>
      <c r="M374">
        <v>10</v>
      </c>
    </row>
    <row r="375" spans="5:13" x14ac:dyDescent="0.35">
      <c r="E375" t="str">
        <v>Average</v>
      </c>
      <c r="F375" t="str" cm="1">
        <f t="array" ref="F375">IF(AND(tbl_Lifestyle[absences]&gt;15,tbl_Grades[final_grade]&lt;10),"At Risk","OK")</f>
        <v>OK</v>
      </c>
      <c r="L375">
        <v>0</v>
      </c>
      <c r="M375">
        <v>14</v>
      </c>
    </row>
    <row r="376" spans="5:13" x14ac:dyDescent="0.35">
      <c r="E376" t="str">
        <v>Below Average</v>
      </c>
      <c r="F376" t="str" cm="1">
        <f t="array" ref="F376">IF(AND(tbl_Lifestyle[absences]&gt;15,tbl_Grades[final_grade]&lt;10),"At Risk","OK")</f>
        <v>OK</v>
      </c>
      <c r="L376">
        <v>0</v>
      </c>
      <c r="M376">
        <v>18</v>
      </c>
    </row>
    <row r="377" spans="5:13" x14ac:dyDescent="0.35">
      <c r="E377" t="str">
        <v>Excellent</v>
      </c>
      <c r="F377" t="str" cm="1">
        <f t="array" ref="F377">IF(AND(tbl_Lifestyle[absences]&gt;15,tbl_Grades[final_grade]&lt;10),"At Risk","OK")</f>
        <v>OK</v>
      </c>
      <c r="L377">
        <v>20</v>
      </c>
      <c r="M377">
        <v>13</v>
      </c>
    </row>
    <row r="378" spans="5:13" x14ac:dyDescent="0.35">
      <c r="E378" t="str">
        <v>Average</v>
      </c>
      <c r="F378" t="str" cm="1">
        <f t="array" ref="F378">IF(AND(tbl_Lifestyle[absences]&gt;15,tbl_Grades[final_grade]&lt;10),"At Risk","OK")</f>
        <v>OK</v>
      </c>
      <c r="L378">
        <v>8</v>
      </c>
      <c r="M378">
        <v>0</v>
      </c>
    </row>
    <row r="379" spans="5:13" x14ac:dyDescent="0.35">
      <c r="E379" t="str">
        <v>Good</v>
      </c>
      <c r="F379" t="str" cm="1">
        <f t="array" ref="F379">IF(AND(tbl_Lifestyle[absences]&gt;15,tbl_Grades[final_grade]&lt;10),"At Risk","OK")</f>
        <v>OK</v>
      </c>
      <c r="L379">
        <v>0</v>
      </c>
      <c r="M379">
        <v>18</v>
      </c>
    </row>
    <row r="380" spans="5:13" x14ac:dyDescent="0.35">
      <c r="E380" t="str">
        <v>Average</v>
      </c>
      <c r="F380" t="str" cm="1">
        <f t="array" ref="F380">IF(AND(tbl_Lifestyle[absences]&gt;15,tbl_Grades[final_grade]&lt;10),"At Risk","OK")</f>
        <v>OK</v>
      </c>
      <c r="L380">
        <v>38</v>
      </c>
      <c r="M380">
        <v>8</v>
      </c>
    </row>
    <row r="381" spans="5:13" x14ac:dyDescent="0.35">
      <c r="E381" t="str">
        <v>Good</v>
      </c>
      <c r="F381" t="str" cm="1">
        <f t="array" ref="F381">IF(AND(tbl_Lifestyle[absences]&gt;15,tbl_Grades[final_grade]&lt;10),"At Risk","OK")</f>
        <v>OK</v>
      </c>
      <c r="L381">
        <v>0</v>
      </c>
      <c r="M381">
        <v>12</v>
      </c>
    </row>
    <row r="382" spans="5:13" x14ac:dyDescent="0.35">
      <c r="E382" t="str">
        <v>Average</v>
      </c>
      <c r="F382" t="str" cm="1">
        <f t="array" ref="F382">IF(AND(tbl_Lifestyle[absences]&gt;15,tbl_Grades[final_grade]&lt;10),"At Risk","OK")</f>
        <v>OK</v>
      </c>
      <c r="L382">
        <v>18</v>
      </c>
      <c r="M382">
        <v>10</v>
      </c>
    </row>
    <row r="383" spans="5:13" x14ac:dyDescent="0.35">
      <c r="E383" t="str">
        <v>Good</v>
      </c>
      <c r="F383" t="str" cm="1">
        <f t="array" ref="F383">IF(AND(tbl_Lifestyle[absences]&gt;15,tbl_Grades[final_grade]&lt;10),"At Risk","OK")</f>
        <v>OK</v>
      </c>
      <c r="L383">
        <v>0</v>
      </c>
      <c r="M383">
        <v>0</v>
      </c>
    </row>
    <row r="384" spans="5:13" x14ac:dyDescent="0.35">
      <c r="E384" t="str">
        <v>Below Average</v>
      </c>
      <c r="F384" t="str" cm="1">
        <f t="array" ref="F384">IF(AND(tbl_Lifestyle[absences]&gt;15,tbl_Grades[final_grade]&lt;10),"At Risk","OK")</f>
        <v>OK</v>
      </c>
      <c r="L384">
        <v>20</v>
      </c>
      <c r="M384">
        <v>13</v>
      </c>
    </row>
    <row r="385" spans="5:13" x14ac:dyDescent="0.35">
      <c r="E385" t="str">
        <v>Average</v>
      </c>
      <c r="F385" t="str" cm="1">
        <f t="array" ref="F385">IF(AND(tbl_Lifestyle[absences]&gt;15,tbl_Grades[final_grade]&lt;10),"At Risk","OK")</f>
        <v>OK</v>
      </c>
      <c r="L385">
        <v>3</v>
      </c>
      <c r="M385">
        <v>11</v>
      </c>
    </row>
    <row r="386" spans="5:13" x14ac:dyDescent="0.35">
      <c r="E386" t="str">
        <v>Below Average</v>
      </c>
      <c r="F386" t="str" cm="1">
        <f t="array" ref="F386">IF(AND(tbl_Lifestyle[absences]&gt;15,tbl_Grades[final_grade]&lt;10),"At Risk","OK")</f>
        <v>OK</v>
      </c>
      <c r="L386">
        <v>22</v>
      </c>
      <c r="M386">
        <v>11</v>
      </c>
    </row>
    <row r="387" spans="5:13" x14ac:dyDescent="0.35">
      <c r="E387" t="str">
        <v>Below Average</v>
      </c>
      <c r="F387" t="str" cm="1">
        <f t="array" ref="F387">IF(AND(tbl_Lifestyle[absences]&gt;15,tbl_Grades[final_grade]&lt;10),"At Risk","OK")</f>
        <v>OK</v>
      </c>
      <c r="L387">
        <v>14</v>
      </c>
      <c r="M387">
        <v>13</v>
      </c>
    </row>
    <row r="388" spans="5:13" x14ac:dyDescent="0.35">
      <c r="E388" t="str">
        <v>Average</v>
      </c>
      <c r="F388" t="str" cm="1">
        <f t="array" ref="F388">IF(AND(tbl_Lifestyle[absences]&gt;15,tbl_Grades[final_grade]&lt;10),"At Risk","OK")</f>
        <v>OK</v>
      </c>
      <c r="L388">
        <v>40</v>
      </c>
      <c r="M388">
        <v>11</v>
      </c>
    </row>
    <row r="389" spans="5:13" x14ac:dyDescent="0.35">
      <c r="E389" t="str">
        <v>Below Average</v>
      </c>
      <c r="F389" t="str" cm="1">
        <f t="array" ref="F389">IF(AND(tbl_Lifestyle[absences]&gt;15,tbl_Grades[final_grade]&lt;10),"At Risk","OK")</f>
        <v>OK</v>
      </c>
      <c r="L389">
        <v>0</v>
      </c>
      <c r="M389">
        <v>0</v>
      </c>
    </row>
    <row r="390" spans="5:13" x14ac:dyDescent="0.35">
      <c r="E390" t="str">
        <v>Below Average</v>
      </c>
      <c r="F390" t="str" cm="1">
        <f t="array" ref="F390">IF(AND(tbl_Lifestyle[absences]&gt;15,tbl_Grades[final_grade]&lt;10),"At Risk","OK")</f>
        <v>OK</v>
      </c>
      <c r="L390">
        <v>9</v>
      </c>
      <c r="M390">
        <v>9</v>
      </c>
    </row>
    <row r="391" spans="5:13" x14ac:dyDescent="0.35">
      <c r="E391" t="str">
        <v>Average</v>
      </c>
      <c r="F391" t="str" cm="1">
        <f t="array" ref="F391">IF(AND(tbl_Lifestyle[absences]&gt;15,tbl_Grades[final_grade]&lt;10),"At Risk","OK")</f>
        <v>OK</v>
      </c>
      <c r="L391">
        <v>0</v>
      </c>
      <c r="M391">
        <v>10</v>
      </c>
    </row>
    <row r="392" spans="5:13" x14ac:dyDescent="0.35">
      <c r="E392" t="str">
        <v>Below Average</v>
      </c>
      <c r="F392" t="str" cm="1">
        <f t="array" ref="F392">IF(AND(tbl_Lifestyle[absences]&gt;15,tbl_Grades[final_grade]&lt;10),"At Risk","OK")</f>
        <v>OK</v>
      </c>
      <c r="L392">
        <v>2</v>
      </c>
      <c r="M392">
        <v>11</v>
      </c>
    </row>
    <row r="393" spans="5:13" x14ac:dyDescent="0.35">
      <c r="E393" t="str">
        <v>Average</v>
      </c>
      <c r="F393" t="str" cm="1">
        <f t="array" ref="F393">IF(AND(tbl_Lifestyle[absences]&gt;15,tbl_Grades[final_grade]&lt;10),"At Risk","OK")</f>
        <v>OK</v>
      </c>
      <c r="L393">
        <v>23</v>
      </c>
      <c r="M393">
        <v>13</v>
      </c>
    </row>
    <row r="394" spans="5:13" x14ac:dyDescent="0.35">
      <c r="E394" t="str">
        <v>Excellent</v>
      </c>
      <c r="F394" t="str" cm="1">
        <f t="array" ref="F394">IF(AND(tbl_Lifestyle[absences]&gt;15,tbl_Grades[final_grade]&lt;10),"At Risk","OK")</f>
        <v>OK</v>
      </c>
      <c r="L394">
        <v>12</v>
      </c>
      <c r="M394">
        <v>9</v>
      </c>
    </row>
    <row r="395" spans="5:13" x14ac:dyDescent="0.35">
      <c r="E395" t="str">
        <v>Below Average</v>
      </c>
      <c r="F395" t="str" cm="1">
        <f t="array" ref="F395">IF(AND(tbl_Lifestyle[absences]&gt;15,tbl_Grades[final_grade]&lt;10),"At Risk","OK")</f>
        <v>OK</v>
      </c>
      <c r="L395">
        <v>3</v>
      </c>
      <c r="M395">
        <v>11</v>
      </c>
    </row>
    <row r="396" spans="5:13" x14ac:dyDescent="0.35">
      <c r="E396" t="str">
        <v>Average</v>
      </c>
      <c r="F396" t="str" cm="1">
        <f t="array" ref="F396">IF(AND(tbl_Lifestyle[absences]&gt;15,tbl_Grades[final_grade]&lt;10),"At Risk","OK")</f>
        <v>OK</v>
      </c>
      <c r="L396">
        <v>1</v>
      </c>
      <c r="M396">
        <v>15</v>
      </c>
    </row>
    <row r="397" spans="5:13" x14ac:dyDescent="0.35">
      <c r="E397" t="str">
        <v>Average</v>
      </c>
      <c r="F397" t="str" cm="1">
        <f t="array" ref="F397">IF(AND(tbl_Lifestyle[absences]&gt;15,tbl_Grades[final_grade]&lt;10),"At Risk","OK")</f>
        <v>OK</v>
      </c>
      <c r="L397">
        <v>0</v>
      </c>
      <c r="M397">
        <v>15</v>
      </c>
    </row>
    <row r="398" spans="5:13" x14ac:dyDescent="0.35">
      <c r="L398">
        <v>3</v>
      </c>
      <c r="M398">
        <v>11</v>
      </c>
    </row>
    <row r="399" spans="5:13" x14ac:dyDescent="0.35">
      <c r="L399">
        <v>3</v>
      </c>
      <c r="M399">
        <v>16</v>
      </c>
    </row>
    <row r="400" spans="5:13" x14ac:dyDescent="0.35">
      <c r="L400">
        <v>8</v>
      </c>
      <c r="M400">
        <v>10</v>
      </c>
    </row>
    <row r="401" spans="12:13" x14ac:dyDescent="0.35">
      <c r="L401">
        <v>7</v>
      </c>
      <c r="M401">
        <v>9</v>
      </c>
    </row>
    <row r="402" spans="12:13" x14ac:dyDescent="0.35">
      <c r="L402">
        <v>4</v>
      </c>
      <c r="M402">
        <v>14</v>
      </c>
    </row>
    <row r="403" spans="12:13" x14ac:dyDescent="0.35">
      <c r="L403">
        <v>2</v>
      </c>
      <c r="M403">
        <v>8</v>
      </c>
    </row>
    <row r="404" spans="12:13" x14ac:dyDescent="0.35">
      <c r="L404">
        <v>7</v>
      </c>
      <c r="M404">
        <v>14</v>
      </c>
    </row>
    <row r="405" spans="12:13" x14ac:dyDescent="0.35">
      <c r="L405">
        <v>0</v>
      </c>
      <c r="M405">
        <v>0</v>
      </c>
    </row>
    <row r="406" spans="12:13" x14ac:dyDescent="0.35">
      <c r="L406">
        <v>0</v>
      </c>
      <c r="M406">
        <v>0</v>
      </c>
    </row>
    <row r="407" spans="12:13" x14ac:dyDescent="0.35">
      <c r="L407">
        <v>0</v>
      </c>
      <c r="M407">
        <v>0</v>
      </c>
    </row>
    <row r="408" spans="12:13" x14ac:dyDescent="0.35">
      <c r="L408">
        <v>16</v>
      </c>
      <c r="M408">
        <v>15</v>
      </c>
    </row>
    <row r="409" spans="12:13" x14ac:dyDescent="0.35">
      <c r="L409">
        <v>12</v>
      </c>
      <c r="M409">
        <v>13</v>
      </c>
    </row>
    <row r="410" spans="12:13" x14ac:dyDescent="0.35">
      <c r="L410">
        <v>0</v>
      </c>
      <c r="M410">
        <v>0</v>
      </c>
    </row>
    <row r="411" spans="12:13" x14ac:dyDescent="0.35">
      <c r="L411">
        <v>7</v>
      </c>
      <c r="M411">
        <v>17</v>
      </c>
    </row>
    <row r="412" spans="12:13" x14ac:dyDescent="0.35">
      <c r="L412">
        <v>4</v>
      </c>
      <c r="M412">
        <v>10</v>
      </c>
    </row>
    <row r="413" spans="12:13" x14ac:dyDescent="0.35">
      <c r="L413">
        <v>4</v>
      </c>
      <c r="M413">
        <v>11</v>
      </c>
    </row>
    <row r="414" spans="12:13" x14ac:dyDescent="0.35">
      <c r="L414">
        <v>0</v>
      </c>
      <c r="M414">
        <v>0</v>
      </c>
    </row>
    <row r="415" spans="12:13" x14ac:dyDescent="0.35">
      <c r="L415">
        <v>11</v>
      </c>
      <c r="M415">
        <v>15</v>
      </c>
    </row>
    <row r="416" spans="12:13" x14ac:dyDescent="0.35">
      <c r="L416">
        <v>0</v>
      </c>
      <c r="M416">
        <v>0</v>
      </c>
    </row>
    <row r="417" spans="12:13" x14ac:dyDescent="0.35">
      <c r="L417">
        <v>4</v>
      </c>
      <c r="M417">
        <v>10</v>
      </c>
    </row>
    <row r="418" spans="12:13" x14ac:dyDescent="0.35">
      <c r="L418">
        <v>7</v>
      </c>
      <c r="M418">
        <v>14</v>
      </c>
    </row>
    <row r="419" spans="12:13" x14ac:dyDescent="0.35">
      <c r="L419">
        <v>9</v>
      </c>
      <c r="M419">
        <v>16</v>
      </c>
    </row>
    <row r="420" spans="12:13" x14ac:dyDescent="0.35">
      <c r="L420">
        <v>0</v>
      </c>
      <c r="M420">
        <v>9</v>
      </c>
    </row>
    <row r="421" spans="12:13" x14ac:dyDescent="0.35">
      <c r="L421">
        <v>0</v>
      </c>
      <c r="M421">
        <v>0</v>
      </c>
    </row>
    <row r="422" spans="12:13" x14ac:dyDescent="0.35">
      <c r="L422">
        <v>10</v>
      </c>
      <c r="M422">
        <v>13</v>
      </c>
    </row>
    <row r="423" spans="12:13" x14ac:dyDescent="0.35">
      <c r="L423">
        <v>8</v>
      </c>
      <c r="M423">
        <v>8</v>
      </c>
    </row>
    <row r="424" spans="12:13" x14ac:dyDescent="0.35">
      <c r="L424">
        <v>2</v>
      </c>
      <c r="M424">
        <v>13</v>
      </c>
    </row>
    <row r="425" spans="12:13" x14ac:dyDescent="0.35">
      <c r="L425">
        <v>7</v>
      </c>
      <c r="M425">
        <v>8</v>
      </c>
    </row>
    <row r="426" spans="12:13" x14ac:dyDescent="0.35">
      <c r="L426">
        <v>4</v>
      </c>
      <c r="M426">
        <v>8</v>
      </c>
    </row>
    <row r="427" spans="12:13" x14ac:dyDescent="0.35">
      <c r="L427">
        <v>4</v>
      </c>
      <c r="M427">
        <v>11</v>
      </c>
    </row>
    <row r="428" spans="12:13" x14ac:dyDescent="0.35">
      <c r="L428">
        <v>0</v>
      </c>
      <c r="M428">
        <v>9</v>
      </c>
    </row>
    <row r="429" spans="12:13" x14ac:dyDescent="0.35">
      <c r="L429">
        <v>4</v>
      </c>
      <c r="M429">
        <v>13</v>
      </c>
    </row>
    <row r="430" spans="12:13" x14ac:dyDescent="0.35">
      <c r="L430">
        <v>2</v>
      </c>
      <c r="M430">
        <v>11</v>
      </c>
    </row>
    <row r="431" spans="12:13" x14ac:dyDescent="0.35">
      <c r="L431">
        <v>4</v>
      </c>
      <c r="M431">
        <v>10</v>
      </c>
    </row>
    <row r="432" spans="12:13" x14ac:dyDescent="0.35">
      <c r="L432">
        <v>0</v>
      </c>
      <c r="M432">
        <v>16</v>
      </c>
    </row>
    <row r="433" spans="12:13" x14ac:dyDescent="0.35">
      <c r="L433">
        <v>0</v>
      </c>
      <c r="M433">
        <v>13</v>
      </c>
    </row>
    <row r="434" spans="12:13" x14ac:dyDescent="0.35">
      <c r="L434">
        <v>2</v>
      </c>
      <c r="M434">
        <v>12</v>
      </c>
    </row>
    <row r="435" spans="12:13" x14ac:dyDescent="0.35">
      <c r="L435">
        <v>0</v>
      </c>
      <c r="M435">
        <v>10</v>
      </c>
    </row>
    <row r="436" spans="12:13" x14ac:dyDescent="0.35">
      <c r="L436">
        <v>0</v>
      </c>
      <c r="M436">
        <v>15</v>
      </c>
    </row>
    <row r="437" spans="12:13" x14ac:dyDescent="0.35">
      <c r="L437">
        <v>0</v>
      </c>
      <c r="M437">
        <v>12</v>
      </c>
    </row>
    <row r="438" spans="12:13" x14ac:dyDescent="0.35">
      <c r="L438">
        <v>4</v>
      </c>
      <c r="M438">
        <v>10</v>
      </c>
    </row>
    <row r="439" spans="12:13" x14ac:dyDescent="0.35">
      <c r="L439">
        <v>0</v>
      </c>
      <c r="M439">
        <v>13</v>
      </c>
    </row>
    <row r="440" spans="12:13" x14ac:dyDescent="0.35">
      <c r="L440">
        <v>0</v>
      </c>
      <c r="M440">
        <v>0</v>
      </c>
    </row>
    <row r="441" spans="12:13" x14ac:dyDescent="0.35">
      <c r="L441">
        <v>0</v>
      </c>
      <c r="M441">
        <v>10</v>
      </c>
    </row>
    <row r="442" spans="12:13" x14ac:dyDescent="0.35">
      <c r="L442">
        <v>10</v>
      </c>
      <c r="M442">
        <v>11</v>
      </c>
    </row>
    <row r="443" spans="12:13" x14ac:dyDescent="0.35">
      <c r="L443">
        <v>4</v>
      </c>
      <c r="M443">
        <v>9</v>
      </c>
    </row>
    <row r="444" spans="12:13" x14ac:dyDescent="0.35">
      <c r="L444">
        <v>3</v>
      </c>
      <c r="M444">
        <v>12</v>
      </c>
    </row>
    <row r="445" spans="12:13" x14ac:dyDescent="0.35">
      <c r="L445">
        <v>8</v>
      </c>
      <c r="M445">
        <v>11</v>
      </c>
    </row>
    <row r="446" spans="12:13" x14ac:dyDescent="0.35">
      <c r="L446">
        <v>14</v>
      </c>
      <c r="M446">
        <v>5</v>
      </c>
    </row>
    <row r="447" spans="12:13" x14ac:dyDescent="0.35">
      <c r="L447">
        <v>0</v>
      </c>
      <c r="M447">
        <v>19</v>
      </c>
    </row>
    <row r="448" spans="12:13" x14ac:dyDescent="0.35">
      <c r="L448">
        <v>2</v>
      </c>
      <c r="M448">
        <v>10</v>
      </c>
    </row>
    <row r="449" spans="12:13" x14ac:dyDescent="0.35">
      <c r="L449">
        <v>4</v>
      </c>
      <c r="M449">
        <v>15</v>
      </c>
    </row>
    <row r="450" spans="12:13" x14ac:dyDescent="0.35">
      <c r="L450">
        <v>4</v>
      </c>
      <c r="M450">
        <v>10</v>
      </c>
    </row>
    <row r="451" spans="12:13" x14ac:dyDescent="0.35">
      <c r="L451">
        <v>0</v>
      </c>
      <c r="M451">
        <v>15</v>
      </c>
    </row>
    <row r="452" spans="12:13" x14ac:dyDescent="0.35">
      <c r="L452">
        <v>17</v>
      </c>
      <c r="M452">
        <v>10</v>
      </c>
    </row>
    <row r="453" spans="12:13" x14ac:dyDescent="0.35">
      <c r="L453">
        <v>4</v>
      </c>
      <c r="M453">
        <v>14</v>
      </c>
    </row>
    <row r="454" spans="12:13" x14ac:dyDescent="0.35">
      <c r="L454">
        <v>0</v>
      </c>
      <c r="M454">
        <v>7</v>
      </c>
    </row>
    <row r="455" spans="12:13" x14ac:dyDescent="0.35">
      <c r="L455">
        <v>0</v>
      </c>
      <c r="M455">
        <v>10</v>
      </c>
    </row>
    <row r="456" spans="12:13" x14ac:dyDescent="0.35">
      <c r="L456">
        <v>0</v>
      </c>
      <c r="M456">
        <v>0</v>
      </c>
    </row>
    <row r="457" spans="12:13" x14ac:dyDescent="0.35">
      <c r="L457">
        <v>14</v>
      </c>
      <c r="M457">
        <v>5</v>
      </c>
    </row>
    <row r="458" spans="12:13" x14ac:dyDescent="0.35">
      <c r="L458">
        <v>2</v>
      </c>
      <c r="M458">
        <v>10</v>
      </c>
    </row>
    <row r="459" spans="12:13" x14ac:dyDescent="0.35">
      <c r="L459">
        <v>7</v>
      </c>
      <c r="M459">
        <v>6</v>
      </c>
    </row>
    <row r="460" spans="12:13" x14ac:dyDescent="0.35">
      <c r="L460">
        <v>0</v>
      </c>
      <c r="M460">
        <v>0</v>
      </c>
    </row>
    <row r="461" spans="12:13" x14ac:dyDescent="0.35">
      <c r="L461">
        <v>0</v>
      </c>
      <c r="M461">
        <v>8</v>
      </c>
    </row>
    <row r="462" spans="12:13" x14ac:dyDescent="0.35">
      <c r="L462">
        <v>0</v>
      </c>
      <c r="M462">
        <v>0</v>
      </c>
    </row>
    <row r="463" spans="12:13" x14ac:dyDescent="0.35">
      <c r="L463">
        <v>11</v>
      </c>
      <c r="M463">
        <v>9</v>
      </c>
    </row>
    <row r="464" spans="12:13" x14ac:dyDescent="0.35">
      <c r="L464">
        <v>3</v>
      </c>
      <c r="M464">
        <v>16</v>
      </c>
    </row>
    <row r="465" spans="12:13" x14ac:dyDescent="0.35">
      <c r="L465">
        <v>3</v>
      </c>
      <c r="M465">
        <v>7</v>
      </c>
    </row>
    <row r="466" spans="12:13" x14ac:dyDescent="0.35">
      <c r="L466">
        <v>0</v>
      </c>
      <c r="M466">
        <v>10</v>
      </c>
    </row>
    <row r="467" spans="12:13" x14ac:dyDescent="0.35">
      <c r="L467">
        <v>5</v>
      </c>
      <c r="M467">
        <v>9</v>
      </c>
    </row>
  </sheetData>
  <mergeCells count="1">
    <mergeCell ref="E1:F1"/>
  </mergeCells>
  <pageMargins left="0.7" right="0.7" top="0.75" bottom="0.75" header="0.3" footer="0.3"/>
  <drawing r:id="rId2"/>
  <tableParts count="5">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33590-F8E4-4957-BC73-A1F7E4DD0327}">
  <dimension ref="A1:H26"/>
  <sheetViews>
    <sheetView workbookViewId="0">
      <selection activeCell="B2" sqref="B2"/>
    </sheetView>
  </sheetViews>
  <sheetFormatPr defaultRowHeight="14.5" x14ac:dyDescent="0.35"/>
  <cols>
    <col min="1" max="1" width="6" customWidth="1"/>
  </cols>
  <sheetData>
    <row r="1" spans="1:8" x14ac:dyDescent="0.35">
      <c r="A1" s="4"/>
      <c r="B1" s="4" t="s">
        <v>88</v>
      </c>
      <c r="C1" s="4" t="s">
        <v>89</v>
      </c>
      <c r="D1" s="4"/>
      <c r="E1" s="29" t="s">
        <v>90</v>
      </c>
      <c r="F1" s="29"/>
      <c r="G1" s="29"/>
      <c r="H1" s="29"/>
    </row>
    <row r="2" spans="1:8" x14ac:dyDescent="0.35">
      <c r="A2" s="1"/>
      <c r="B2" s="1">
        <v>10</v>
      </c>
      <c r="C2" s="1" cm="1">
        <f t="array" ref="C2">COUNTIF(FinalGrades,"&gt;"&amp;B2)/COUNT(FinalGrades)*100</f>
        <v>51.898734177215189</v>
      </c>
      <c r="D2" s="1"/>
      <c r="E2" s="29"/>
      <c r="F2" s="29"/>
      <c r="G2" s="29"/>
      <c r="H2" s="29"/>
    </row>
    <row r="3" spans="1:8" x14ac:dyDescent="0.35">
      <c r="A3" s="1"/>
      <c r="B3" s="1"/>
      <c r="C3" s="1"/>
      <c r="D3" s="1"/>
      <c r="E3" s="29"/>
      <c r="F3" s="29"/>
      <c r="G3" s="29"/>
      <c r="H3" s="29"/>
    </row>
    <row r="4" spans="1:8" x14ac:dyDescent="0.35">
      <c r="A4" s="1"/>
      <c r="B4" s="1">
        <f>C2</f>
        <v>51.898734177215189</v>
      </c>
      <c r="C4" s="1"/>
      <c r="D4" s="1"/>
      <c r="E4" s="29"/>
      <c r="F4" s="29"/>
      <c r="G4" s="29"/>
      <c r="H4" s="29"/>
    </row>
    <row r="5" spans="1:8" x14ac:dyDescent="0.35">
      <c r="A5" s="1">
        <v>6</v>
      </c>
      <c r="B5" s="1">
        <f t="dataTable" ref="B5:B13" dt2D="0" dtr="0" r1="B2"/>
        <v>83.037974683544306</v>
      </c>
      <c r="C5" s="1"/>
      <c r="D5" s="1"/>
      <c r="E5" s="29"/>
      <c r="F5" s="29"/>
      <c r="G5" s="29"/>
      <c r="H5" s="29"/>
    </row>
    <row r="6" spans="1:8" x14ac:dyDescent="0.35">
      <c r="A6" s="1">
        <v>7</v>
      </c>
      <c r="B6" s="1">
        <v>80.759493670886073</v>
      </c>
      <c r="C6" s="1"/>
      <c r="D6" s="1"/>
      <c r="E6" s="29"/>
      <c r="F6" s="29"/>
      <c r="G6" s="29"/>
      <c r="H6" s="29"/>
    </row>
    <row r="7" spans="1:8" x14ac:dyDescent="0.35">
      <c r="A7" s="1">
        <v>8</v>
      </c>
      <c r="B7" s="1">
        <v>72.658227848101262</v>
      </c>
      <c r="C7" s="1"/>
      <c r="D7" s="1"/>
      <c r="E7" s="29"/>
      <c r="F7" s="29"/>
      <c r="G7" s="29"/>
      <c r="H7" s="29"/>
    </row>
    <row r="8" spans="1:8" x14ac:dyDescent="0.35">
      <c r="A8" s="1">
        <v>9</v>
      </c>
      <c r="B8" s="1">
        <v>65.822784810126578</v>
      </c>
      <c r="C8" s="1"/>
      <c r="D8" s="1"/>
      <c r="E8" s="29"/>
      <c r="F8" s="29"/>
      <c r="G8" s="29"/>
      <c r="H8" s="29"/>
    </row>
    <row r="9" spans="1:8" x14ac:dyDescent="0.35">
      <c r="A9" s="1">
        <v>10</v>
      </c>
      <c r="B9" s="1">
        <v>51.898734177215189</v>
      </c>
      <c r="C9" s="1"/>
      <c r="D9" s="1"/>
      <c r="E9" s="29"/>
      <c r="F9" s="29"/>
      <c r="G9" s="29"/>
      <c r="H9" s="29"/>
    </row>
    <row r="10" spans="1:8" x14ac:dyDescent="0.35">
      <c r="A10" s="1">
        <v>11</v>
      </c>
      <c r="B10" s="1">
        <v>40</v>
      </c>
      <c r="C10" s="1"/>
      <c r="D10" s="1"/>
      <c r="E10" s="29"/>
      <c r="F10" s="29"/>
      <c r="G10" s="29"/>
      <c r="H10" s="29"/>
    </row>
    <row r="11" spans="1:8" x14ac:dyDescent="0.35">
      <c r="A11" s="1">
        <v>12</v>
      </c>
      <c r="B11" s="1">
        <v>32.405063291139243</v>
      </c>
      <c r="C11" s="1"/>
      <c r="D11" s="1"/>
      <c r="E11" s="29"/>
      <c r="F11" s="29"/>
      <c r="G11" s="29"/>
      <c r="H11" s="29"/>
    </row>
    <row r="12" spans="1:8" x14ac:dyDescent="0.35">
      <c r="A12" s="1">
        <v>13</v>
      </c>
      <c r="B12" s="1">
        <v>24.556962025316455</v>
      </c>
      <c r="C12" s="1"/>
      <c r="D12" s="1"/>
      <c r="E12" s="29"/>
      <c r="F12" s="29"/>
      <c r="G12" s="29"/>
      <c r="H12" s="29"/>
    </row>
    <row r="13" spans="1:8" x14ac:dyDescent="0.35">
      <c r="A13" s="1">
        <v>14</v>
      </c>
      <c r="B13" s="1">
        <v>17.721518987341771</v>
      </c>
      <c r="C13" s="1"/>
      <c r="D13" s="1"/>
      <c r="E13" s="29"/>
      <c r="F13" s="29"/>
      <c r="G13" s="29"/>
      <c r="H13" s="29"/>
    </row>
    <row r="14" spans="1:8" x14ac:dyDescent="0.35">
      <c r="A14" s="3"/>
      <c r="B14" s="3" t="s">
        <v>88</v>
      </c>
      <c r="C14" s="3" t="s">
        <v>89</v>
      </c>
      <c r="D14" s="3"/>
      <c r="E14" s="30" t="s">
        <v>91</v>
      </c>
      <c r="F14" s="30"/>
      <c r="G14" s="30"/>
      <c r="H14" s="30"/>
    </row>
    <row r="15" spans="1:8" x14ac:dyDescent="0.35">
      <c r="A15" s="2"/>
      <c r="B15" s="2">
        <v>9.9</v>
      </c>
      <c r="C15" s="2" cm="1">
        <f t="array" ref="C15">COUNTIF(FinalGrades,"&gt;"&amp;B15)/COUNT(FinalGrades)*100</f>
        <v>65.569620253164558</v>
      </c>
      <c r="D15" s="2"/>
      <c r="E15" s="30"/>
      <c r="F15" s="30"/>
      <c r="G15" s="30"/>
      <c r="H15" s="30"/>
    </row>
    <row r="16" spans="1:8" x14ac:dyDescent="0.35">
      <c r="A16" s="2"/>
      <c r="B16" s="2"/>
      <c r="C16" s="2"/>
      <c r="D16" s="2"/>
      <c r="E16" s="30"/>
      <c r="F16" s="30"/>
      <c r="G16" s="30"/>
      <c r="H16" s="30"/>
    </row>
    <row r="17" spans="1:8" x14ac:dyDescent="0.35">
      <c r="A17" s="2"/>
      <c r="B17" s="2">
        <f>C15</f>
        <v>65.569620253164558</v>
      </c>
      <c r="C17" s="2"/>
      <c r="D17" s="2"/>
      <c r="E17" s="30"/>
      <c r="F17" s="30"/>
      <c r="G17" s="30"/>
      <c r="H17" s="30"/>
    </row>
    <row r="18" spans="1:8" x14ac:dyDescent="0.35">
      <c r="A18" s="2">
        <v>6</v>
      </c>
      <c r="B18" s="2">
        <v>83.037974683544306</v>
      </c>
      <c r="C18" s="2"/>
      <c r="D18" s="2"/>
      <c r="E18" s="30"/>
      <c r="F18" s="30"/>
      <c r="G18" s="30"/>
      <c r="H18" s="30"/>
    </row>
    <row r="19" spans="1:8" x14ac:dyDescent="0.35">
      <c r="A19" s="2">
        <v>7</v>
      </c>
      <c r="B19" s="2">
        <v>80.759493670886073</v>
      </c>
      <c r="C19" s="2"/>
      <c r="D19" s="2"/>
      <c r="E19" s="30"/>
      <c r="F19" s="30"/>
      <c r="G19" s="30"/>
      <c r="H19" s="30"/>
    </row>
    <row r="20" spans="1:8" x14ac:dyDescent="0.35">
      <c r="A20" s="2">
        <v>8</v>
      </c>
      <c r="B20" s="2">
        <v>72.658227848101262</v>
      </c>
      <c r="C20" s="2"/>
      <c r="D20" s="2"/>
      <c r="E20" s="30"/>
      <c r="F20" s="30"/>
      <c r="G20" s="30"/>
      <c r="H20" s="30"/>
    </row>
    <row r="21" spans="1:8" x14ac:dyDescent="0.35">
      <c r="A21" s="2">
        <v>9</v>
      </c>
      <c r="B21" s="2">
        <v>65.822784810126578</v>
      </c>
      <c r="C21" s="2"/>
      <c r="D21" s="2"/>
      <c r="E21" s="30"/>
      <c r="F21" s="30"/>
      <c r="G21" s="30"/>
      <c r="H21" s="30"/>
    </row>
    <row r="22" spans="1:8" x14ac:dyDescent="0.35">
      <c r="A22" s="2">
        <v>10</v>
      </c>
      <c r="B22" s="2">
        <v>51.898734177215189</v>
      </c>
      <c r="C22" s="2"/>
      <c r="D22" s="2"/>
      <c r="E22" s="30"/>
      <c r="F22" s="30"/>
      <c r="G22" s="30"/>
      <c r="H22" s="30"/>
    </row>
    <row r="23" spans="1:8" x14ac:dyDescent="0.35">
      <c r="A23" s="2">
        <v>11</v>
      </c>
      <c r="B23" s="2">
        <v>40</v>
      </c>
      <c r="C23" s="2"/>
      <c r="D23" s="2"/>
      <c r="E23" s="30"/>
      <c r="F23" s="30"/>
      <c r="G23" s="30"/>
      <c r="H23" s="30"/>
    </row>
    <row r="24" spans="1:8" x14ac:dyDescent="0.35">
      <c r="A24" s="2">
        <v>12</v>
      </c>
      <c r="B24" s="2">
        <v>32.405063291139243</v>
      </c>
      <c r="C24" s="2"/>
      <c r="D24" s="2"/>
      <c r="E24" s="30"/>
      <c r="F24" s="30"/>
      <c r="G24" s="30"/>
      <c r="H24" s="30"/>
    </row>
    <row r="25" spans="1:8" x14ac:dyDescent="0.35">
      <c r="A25" s="2">
        <v>13</v>
      </c>
      <c r="B25" s="2">
        <v>24.556962025316455</v>
      </c>
      <c r="C25" s="2"/>
      <c r="D25" s="2"/>
      <c r="E25" s="30"/>
      <c r="F25" s="30"/>
      <c r="G25" s="30"/>
      <c r="H25" s="30"/>
    </row>
    <row r="26" spans="1:8" x14ac:dyDescent="0.35">
      <c r="A26" s="2">
        <v>14</v>
      </c>
      <c r="B26" s="2">
        <v>17.721518987341771</v>
      </c>
      <c r="C26" s="2"/>
      <c r="D26" s="2"/>
      <c r="E26" s="30"/>
      <c r="F26" s="30"/>
      <c r="G26" s="30"/>
      <c r="H26" s="30"/>
    </row>
  </sheetData>
  <mergeCells count="2">
    <mergeCell ref="E1:H13"/>
    <mergeCell ref="E14:H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86AA2-7307-4DF4-9992-31596A8FF0A2}">
  <dimension ref="A1"/>
  <sheetViews>
    <sheetView zoomScale="72" zoomScaleNormal="72" workbookViewId="0">
      <selection activeCell="U24" sqref="U24"/>
    </sheetView>
  </sheetViews>
  <sheetFormatPr defaultRowHeight="14.5" x14ac:dyDescent="0.3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1BEC7-12FD-4853-BB9C-6AA27E37C7B8}">
  <sheetPr>
    <tabColor theme="5"/>
    <pageSetUpPr autoPageBreaks="0"/>
  </sheetPr>
  <dimension ref="B2:T40"/>
  <sheetViews>
    <sheetView showGridLines="0" showRowColHeaders="0" tabSelected="1" topLeftCell="A2" zoomScale="70" zoomScaleNormal="70" workbookViewId="0">
      <selection activeCell="Y19" sqref="Y19"/>
    </sheetView>
  </sheetViews>
  <sheetFormatPr defaultRowHeight="14.5" x14ac:dyDescent="0.35"/>
  <sheetData>
    <row r="2" spans="2:20" ht="14.25" customHeight="1" x14ac:dyDescent="0.35">
      <c r="B2" s="19"/>
      <c r="C2" s="44" t="s">
        <v>119</v>
      </c>
      <c r="D2" s="44"/>
      <c r="E2" s="44"/>
      <c r="F2" s="44"/>
      <c r="G2" s="44"/>
      <c r="H2" s="44"/>
      <c r="I2" s="44"/>
      <c r="J2" s="44"/>
      <c r="K2" s="44"/>
      <c r="L2" s="44"/>
      <c r="M2" s="44"/>
      <c r="N2" s="44"/>
      <c r="O2" s="44"/>
      <c r="P2" s="44"/>
      <c r="Q2" s="44"/>
      <c r="R2" s="44"/>
      <c r="S2" s="19"/>
      <c r="T2" s="19"/>
    </row>
    <row r="3" spans="2:20" ht="14.25" customHeight="1" x14ac:dyDescent="0.35">
      <c r="B3" s="19"/>
      <c r="C3" s="44"/>
      <c r="D3" s="44"/>
      <c r="E3" s="44"/>
      <c r="F3" s="44"/>
      <c r="G3" s="44"/>
      <c r="H3" s="44"/>
      <c r="I3" s="44"/>
      <c r="J3" s="44"/>
      <c r="K3" s="44"/>
      <c r="L3" s="44"/>
      <c r="M3" s="44"/>
      <c r="N3" s="44"/>
      <c r="O3" s="44"/>
      <c r="P3" s="44"/>
      <c r="Q3" s="44"/>
      <c r="R3" s="44"/>
      <c r="S3" s="19"/>
      <c r="T3" s="19"/>
    </row>
    <row r="4" spans="2:20" ht="14.25" customHeight="1" x14ac:dyDescent="0.35">
      <c r="B4" s="19"/>
      <c r="C4" s="44"/>
      <c r="D4" s="44"/>
      <c r="E4" s="44"/>
      <c r="F4" s="44"/>
      <c r="G4" s="44"/>
      <c r="H4" s="44"/>
      <c r="I4" s="44"/>
      <c r="J4" s="44"/>
      <c r="K4" s="44"/>
      <c r="L4" s="44"/>
      <c r="M4" s="44"/>
      <c r="N4" s="44"/>
      <c r="O4" s="44"/>
      <c r="P4" s="44"/>
      <c r="Q4" s="44"/>
      <c r="R4" s="44"/>
      <c r="S4" s="19"/>
      <c r="T4" s="19"/>
    </row>
    <row r="5" spans="2:20" ht="14.25" customHeight="1" x14ac:dyDescent="0.35">
      <c r="B5" s="19"/>
      <c r="C5" s="44"/>
      <c r="D5" s="44"/>
      <c r="E5" s="44"/>
      <c r="F5" s="44"/>
      <c r="G5" s="44"/>
      <c r="H5" s="44"/>
      <c r="I5" s="44"/>
      <c r="J5" s="44"/>
      <c r="K5" s="44"/>
      <c r="L5" s="44"/>
      <c r="M5" s="44"/>
      <c r="N5" s="44"/>
      <c r="O5" s="44"/>
      <c r="P5" s="44"/>
      <c r="Q5" s="44"/>
      <c r="R5" s="44"/>
      <c r="S5" s="19"/>
      <c r="T5" s="19"/>
    </row>
    <row r="6" spans="2:20" x14ac:dyDescent="0.35">
      <c r="B6" s="20"/>
      <c r="C6" s="20"/>
      <c r="D6" s="20"/>
      <c r="E6" s="20"/>
      <c r="F6" s="20"/>
      <c r="G6" s="20"/>
      <c r="H6" s="20"/>
      <c r="I6" s="20"/>
      <c r="J6" s="20"/>
      <c r="K6" s="20"/>
      <c r="L6" s="20"/>
      <c r="M6" s="20"/>
      <c r="N6" s="20"/>
      <c r="O6" s="20"/>
      <c r="P6" s="20"/>
      <c r="Q6" s="20"/>
      <c r="R6" s="20"/>
      <c r="S6" s="20"/>
      <c r="T6" s="20"/>
    </row>
    <row r="7" spans="2:20" x14ac:dyDescent="0.35">
      <c r="B7" s="45" t="s">
        <v>116</v>
      </c>
      <c r="C7" s="45"/>
      <c r="D7" s="45"/>
      <c r="E7" s="45"/>
      <c r="F7" s="46" t="s">
        <v>117</v>
      </c>
      <c r="G7" s="46"/>
      <c r="H7" s="46"/>
      <c r="I7" s="46"/>
      <c r="J7" s="45" t="s">
        <v>118</v>
      </c>
      <c r="K7" s="45"/>
      <c r="L7" s="45"/>
      <c r="M7" s="45"/>
      <c r="N7" s="46" t="s">
        <v>111</v>
      </c>
      <c r="O7" s="46"/>
      <c r="P7" s="46"/>
      <c r="Q7" s="46"/>
      <c r="R7" s="45" t="s">
        <v>129</v>
      </c>
      <c r="S7" s="45"/>
      <c r="T7" s="45"/>
    </row>
    <row r="8" spans="2:20" x14ac:dyDescent="0.35">
      <c r="B8" s="45"/>
      <c r="C8" s="45"/>
      <c r="D8" s="45"/>
      <c r="E8" s="45"/>
      <c r="F8" s="46"/>
      <c r="G8" s="46"/>
      <c r="H8" s="46"/>
      <c r="I8" s="46"/>
      <c r="J8" s="45"/>
      <c r="K8" s="45"/>
      <c r="L8" s="45"/>
      <c r="M8" s="45"/>
      <c r="N8" s="46"/>
      <c r="O8" s="46"/>
      <c r="P8" s="46"/>
      <c r="Q8" s="46"/>
      <c r="R8" s="45"/>
      <c r="S8" s="45"/>
      <c r="T8" s="45"/>
    </row>
    <row r="9" spans="2:20" x14ac:dyDescent="0.35">
      <c r="B9" s="42" vm="2">
        <f>CUBEVALUE("ThisWorkbookDataModel","[Measures].[Average Final Grade]")</f>
        <v>10.335917312661499</v>
      </c>
      <c r="C9" s="42"/>
      <c r="D9" s="42"/>
      <c r="E9" s="42"/>
      <c r="F9" s="43" vm="1">
        <f>CUBEVALUE("ThisWorkbookDataModel","[Measures].[Pass Rate (%)]")</f>
        <v>0.51645569620253162</v>
      </c>
      <c r="G9" s="43"/>
      <c r="H9" s="43"/>
      <c r="I9" s="43"/>
      <c r="J9" s="42" vm="3">
        <f>CUBEVALUE("ThisWorkbookDataModel","[Measures].[Avg Absences]")</f>
        <v>5.7270408163265305</v>
      </c>
      <c r="K9" s="42"/>
      <c r="L9" s="42"/>
      <c r="M9" s="42"/>
      <c r="N9" s="43" vm="4">
        <f>CUBEVALUE("ThisWorkbookDataModel","[Measures].[High Absentee Count]")</f>
        <v>14</v>
      </c>
      <c r="O9" s="43"/>
      <c r="P9" s="43"/>
      <c r="Q9" s="43"/>
      <c r="R9" s="42">
        <f>COUNTA(tbl_Students[student_id])</f>
        <v>395</v>
      </c>
      <c r="S9" s="42"/>
      <c r="T9" s="42"/>
    </row>
    <row r="10" spans="2:20" x14ac:dyDescent="0.35">
      <c r="B10" s="42"/>
      <c r="C10" s="42"/>
      <c r="D10" s="42"/>
      <c r="E10" s="42"/>
      <c r="F10" s="43"/>
      <c r="G10" s="43"/>
      <c r="H10" s="43"/>
      <c r="I10" s="43"/>
      <c r="J10" s="42"/>
      <c r="K10" s="42"/>
      <c r="L10" s="42"/>
      <c r="M10" s="42"/>
      <c r="N10" s="43"/>
      <c r="O10" s="43"/>
      <c r="P10" s="43"/>
      <c r="Q10" s="43"/>
      <c r="R10" s="42"/>
      <c r="S10" s="42"/>
      <c r="T10" s="42"/>
    </row>
    <row r="11" spans="2:20" x14ac:dyDescent="0.35">
      <c r="B11" s="42"/>
      <c r="C11" s="42"/>
      <c r="D11" s="42"/>
      <c r="E11" s="42"/>
      <c r="F11" s="43"/>
      <c r="G11" s="43"/>
      <c r="H11" s="43"/>
      <c r="I11" s="43"/>
      <c r="J11" s="42"/>
      <c r="K11" s="42"/>
      <c r="L11" s="42"/>
      <c r="M11" s="42"/>
      <c r="N11" s="43"/>
      <c r="O11" s="43"/>
      <c r="P11" s="43"/>
      <c r="Q11" s="43"/>
      <c r="R11" s="42"/>
      <c r="S11" s="42"/>
      <c r="T11" s="42"/>
    </row>
    <row r="12" spans="2:20" x14ac:dyDescent="0.35">
      <c r="B12" s="42"/>
      <c r="C12" s="42"/>
      <c r="D12" s="42"/>
      <c r="E12" s="42"/>
      <c r="F12" s="43"/>
      <c r="G12" s="43"/>
      <c r="H12" s="43"/>
      <c r="I12" s="43"/>
      <c r="J12" s="42"/>
      <c r="K12" s="42"/>
      <c r="L12" s="42"/>
      <c r="M12" s="42"/>
      <c r="N12" s="43"/>
      <c r="O12" s="43"/>
      <c r="P12" s="43"/>
      <c r="Q12" s="43"/>
      <c r="R12" s="42"/>
      <c r="S12" s="42"/>
      <c r="T12" s="42"/>
    </row>
    <row r="13" spans="2:20" ht="15" thickBot="1" x14ac:dyDescent="0.4">
      <c r="B13" s="18"/>
      <c r="C13" s="18"/>
      <c r="D13" s="18"/>
      <c r="E13" s="18"/>
      <c r="F13" s="18"/>
      <c r="G13" s="18"/>
      <c r="H13" s="18"/>
      <c r="I13" s="18"/>
      <c r="J13" s="18"/>
      <c r="K13" s="18"/>
      <c r="L13" s="18"/>
      <c r="M13" s="18"/>
      <c r="N13" s="18"/>
      <c r="O13" s="18"/>
      <c r="P13" s="18"/>
      <c r="Q13" s="18"/>
      <c r="R13" s="18"/>
      <c r="S13" s="18"/>
      <c r="T13" s="18"/>
    </row>
    <row r="14" spans="2:20" x14ac:dyDescent="0.35">
      <c r="B14" s="31" t="s">
        <v>121</v>
      </c>
      <c r="C14" s="32"/>
      <c r="D14" s="32"/>
      <c r="E14" s="13"/>
      <c r="F14" s="13"/>
      <c r="G14" s="13"/>
      <c r="H14" s="13"/>
      <c r="I14" s="13"/>
      <c r="J14" s="13"/>
      <c r="K14" s="31" t="s">
        <v>120</v>
      </c>
      <c r="L14" s="32"/>
      <c r="M14" s="32"/>
      <c r="N14" s="13"/>
      <c r="O14" s="13"/>
      <c r="P14" s="13"/>
      <c r="Q14" s="13"/>
      <c r="R14" s="13"/>
      <c r="S14" s="13"/>
      <c r="T14" s="14"/>
    </row>
    <row r="15" spans="2:20" x14ac:dyDescent="0.35">
      <c r="B15" s="33"/>
      <c r="C15" s="34"/>
      <c r="D15" s="34"/>
      <c r="K15" s="33"/>
      <c r="L15" s="34"/>
      <c r="M15" s="34"/>
      <c r="T15" s="16"/>
    </row>
    <row r="16" spans="2:20" x14ac:dyDescent="0.35">
      <c r="B16" s="33"/>
      <c r="C16" s="34"/>
      <c r="D16" s="34"/>
      <c r="K16" s="33"/>
      <c r="L16" s="34"/>
      <c r="M16" s="34"/>
      <c r="T16" s="16"/>
    </row>
    <row r="17" spans="2:20" ht="14.25" customHeight="1" x14ac:dyDescent="0.35">
      <c r="B17" s="33"/>
      <c r="C17" s="34"/>
      <c r="D17" s="34"/>
      <c r="K17" s="33"/>
      <c r="L17" s="34"/>
      <c r="M17" s="34"/>
      <c r="T17" s="16"/>
    </row>
    <row r="18" spans="2:20" ht="14.25" customHeight="1" x14ac:dyDescent="0.35">
      <c r="B18" s="33"/>
      <c r="C18" s="34"/>
      <c r="D18" s="34"/>
      <c r="K18" s="33"/>
      <c r="L18" s="34"/>
      <c r="M18" s="34"/>
      <c r="T18" s="16"/>
    </row>
    <row r="19" spans="2:20" ht="14.25" customHeight="1" x14ac:dyDescent="0.35">
      <c r="B19" s="33"/>
      <c r="C19" s="34"/>
      <c r="D19" s="34"/>
      <c r="K19" s="33"/>
      <c r="L19" s="34"/>
      <c r="M19" s="34"/>
      <c r="T19" s="16"/>
    </row>
    <row r="20" spans="2:20" ht="14.25" customHeight="1" x14ac:dyDescent="0.35">
      <c r="B20" s="33"/>
      <c r="C20" s="34"/>
      <c r="D20" s="34"/>
      <c r="K20" s="33"/>
      <c r="L20" s="34"/>
      <c r="M20" s="34"/>
      <c r="T20" s="16"/>
    </row>
    <row r="21" spans="2:20" ht="14.25" customHeight="1" x14ac:dyDescent="0.35">
      <c r="B21" s="15"/>
      <c r="F21" s="17"/>
      <c r="G21" s="17"/>
      <c r="H21" s="17"/>
      <c r="I21" s="17"/>
      <c r="K21" s="15"/>
      <c r="T21" s="16"/>
    </row>
    <row r="22" spans="2:20" x14ac:dyDescent="0.35">
      <c r="B22" s="15"/>
      <c r="K22" s="15"/>
      <c r="T22" s="16"/>
    </row>
    <row r="23" spans="2:20" x14ac:dyDescent="0.35">
      <c r="B23" s="15"/>
      <c r="K23" s="15"/>
      <c r="T23" s="16"/>
    </row>
    <row r="24" spans="2:20" x14ac:dyDescent="0.35">
      <c r="B24" s="15"/>
      <c r="K24" s="15"/>
      <c r="T24" s="16"/>
    </row>
    <row r="25" spans="2:20" x14ac:dyDescent="0.35">
      <c r="B25" s="15"/>
      <c r="K25" s="15"/>
      <c r="T25" s="16"/>
    </row>
    <row r="26" spans="2:20" ht="15" thickBot="1" x14ac:dyDescent="0.4">
      <c r="B26" s="15"/>
      <c r="K26" s="15"/>
      <c r="T26" s="16"/>
    </row>
    <row r="27" spans="2:20" x14ac:dyDescent="0.35">
      <c r="B27" s="38" t="s">
        <v>130</v>
      </c>
      <c r="C27" s="39"/>
      <c r="D27" s="39"/>
      <c r="E27" s="13"/>
      <c r="F27" s="13"/>
      <c r="G27" s="13"/>
      <c r="H27" s="13"/>
      <c r="I27" s="13"/>
      <c r="J27" s="13"/>
      <c r="K27" s="25"/>
      <c r="L27" s="26"/>
      <c r="M27" s="26"/>
      <c r="N27" s="13"/>
      <c r="O27" s="13"/>
      <c r="P27" s="13"/>
      <c r="Q27" s="13"/>
      <c r="R27" s="13"/>
      <c r="S27" s="13"/>
      <c r="T27" s="14"/>
    </row>
    <row r="28" spans="2:20" x14ac:dyDescent="0.35">
      <c r="B28" s="40"/>
      <c r="C28" s="41"/>
      <c r="D28" s="41"/>
      <c r="K28" s="27"/>
      <c r="L28" s="27"/>
      <c r="M28" s="27"/>
      <c r="T28" s="16"/>
    </row>
    <row r="29" spans="2:20" x14ac:dyDescent="0.35">
      <c r="B29" s="40"/>
      <c r="C29" s="41"/>
      <c r="D29" s="41"/>
      <c r="K29" s="27"/>
      <c r="L29" s="27"/>
      <c r="M29" s="27"/>
      <c r="T29" s="16"/>
    </row>
    <row r="30" spans="2:20" x14ac:dyDescent="0.35">
      <c r="B30" s="40"/>
      <c r="C30" s="41"/>
      <c r="D30" s="41"/>
      <c r="K30" s="27"/>
      <c r="L30" s="27"/>
      <c r="M30" s="27"/>
      <c r="T30" s="16"/>
    </row>
    <row r="31" spans="2:20" x14ac:dyDescent="0.35">
      <c r="B31" s="40"/>
      <c r="C31" s="41"/>
      <c r="D31" s="41"/>
      <c r="K31" s="27"/>
      <c r="L31" s="27"/>
      <c r="M31" s="27"/>
      <c r="T31" s="16"/>
    </row>
    <row r="32" spans="2:20" x14ac:dyDescent="0.35">
      <c r="B32" s="40"/>
      <c r="C32" s="41"/>
      <c r="D32" s="41"/>
      <c r="K32" s="27"/>
      <c r="L32" s="27"/>
      <c r="M32" s="27"/>
      <c r="T32" s="16"/>
    </row>
    <row r="33" spans="2:20" x14ac:dyDescent="0.35">
      <c r="B33" s="40"/>
      <c r="C33" s="41"/>
      <c r="D33" s="41"/>
      <c r="K33" s="27"/>
      <c r="L33" s="27"/>
      <c r="M33" s="27"/>
      <c r="T33" s="16"/>
    </row>
    <row r="34" spans="2:20" x14ac:dyDescent="0.35">
      <c r="B34" s="15"/>
      <c r="T34" s="16"/>
    </row>
    <row r="35" spans="2:20" x14ac:dyDescent="0.35">
      <c r="B35" s="15"/>
      <c r="T35" s="16"/>
    </row>
    <row r="36" spans="2:20" x14ac:dyDescent="0.35">
      <c r="B36" s="15"/>
      <c r="T36" s="16"/>
    </row>
    <row r="37" spans="2:20" x14ac:dyDescent="0.35">
      <c r="B37" s="15"/>
      <c r="T37" s="16"/>
    </row>
    <row r="38" spans="2:20" x14ac:dyDescent="0.35">
      <c r="B38" s="15"/>
      <c r="K38" s="28"/>
      <c r="L38" s="28"/>
      <c r="M38" s="28"/>
      <c r="N38" s="28"/>
      <c r="O38" s="28"/>
      <c r="P38" s="28"/>
      <c r="Q38" s="28"/>
      <c r="R38" s="28"/>
      <c r="S38" s="28"/>
      <c r="T38" s="35"/>
    </row>
    <row r="39" spans="2:20" x14ac:dyDescent="0.35">
      <c r="B39" s="15"/>
      <c r="K39" s="28"/>
      <c r="L39" s="28"/>
      <c r="M39" s="28"/>
      <c r="N39" s="28"/>
      <c r="O39" s="28"/>
      <c r="P39" s="28"/>
      <c r="Q39" s="28"/>
      <c r="R39" s="28"/>
      <c r="S39" s="28"/>
      <c r="T39" s="35"/>
    </row>
    <row r="40" spans="2:20" ht="15" thickBot="1" x14ac:dyDescent="0.4">
      <c r="B40" s="21"/>
      <c r="C40" s="22"/>
      <c r="D40" s="22"/>
      <c r="E40" s="22"/>
      <c r="F40" s="22"/>
      <c r="G40" s="22"/>
      <c r="H40" s="22"/>
      <c r="I40" s="22"/>
      <c r="J40" s="22"/>
      <c r="K40" s="36"/>
      <c r="L40" s="36"/>
      <c r="M40" s="36"/>
      <c r="N40" s="36"/>
      <c r="O40" s="36"/>
      <c r="P40" s="36"/>
      <c r="Q40" s="36"/>
      <c r="R40" s="36"/>
      <c r="S40" s="36"/>
      <c r="T40" s="37"/>
    </row>
  </sheetData>
  <mergeCells count="15">
    <mergeCell ref="C2:R5"/>
    <mergeCell ref="R7:T8"/>
    <mergeCell ref="R9:T12"/>
    <mergeCell ref="B7:E8"/>
    <mergeCell ref="F7:I8"/>
    <mergeCell ref="J7:M8"/>
    <mergeCell ref="N7:Q8"/>
    <mergeCell ref="B9:E12"/>
    <mergeCell ref="F9:I12"/>
    <mergeCell ref="K14:M20"/>
    <mergeCell ref="B14:D20"/>
    <mergeCell ref="K38:T40"/>
    <mergeCell ref="B27:D33"/>
    <mergeCell ref="J9:M12"/>
    <mergeCell ref="N9:Q1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67F34-DDA8-405C-891B-115E5413BD4F}">
  <dimension ref="A2:R36"/>
  <sheetViews>
    <sheetView topLeftCell="E1" zoomScale="76" zoomScaleNormal="76" workbookViewId="0">
      <selection activeCell="N26" sqref="N26"/>
    </sheetView>
  </sheetViews>
  <sheetFormatPr defaultRowHeight="14.5" x14ac:dyDescent="0.35"/>
  <cols>
    <col min="1" max="2" width="12.6328125" bestFit="1" customWidth="1"/>
    <col min="3" max="3" width="17.08984375" bestFit="1" customWidth="1"/>
    <col min="4" max="4" width="18.08984375" bestFit="1" customWidth="1"/>
    <col min="5" max="5" width="10.36328125" bestFit="1" customWidth="1"/>
    <col min="6" max="6" width="12.6328125" bestFit="1" customWidth="1"/>
    <col min="7" max="7" width="17.08984375" bestFit="1" customWidth="1"/>
    <col min="8" max="8" width="18.08984375" bestFit="1" customWidth="1"/>
    <col min="10" max="10" width="12.6328125" bestFit="1" customWidth="1"/>
    <col min="11" max="11" width="17.08984375" bestFit="1" customWidth="1"/>
    <col min="12" max="12" width="11.54296875" bestFit="1" customWidth="1"/>
    <col min="16" max="16" width="12.6328125" bestFit="1" customWidth="1"/>
    <col min="17" max="17" width="17.08984375" bestFit="1" customWidth="1"/>
    <col min="18" max="18" width="11.54296875" bestFit="1" customWidth="1"/>
  </cols>
  <sheetData>
    <row r="2" spans="1:18" x14ac:dyDescent="0.35">
      <c r="A2" s="9" t="s">
        <v>107</v>
      </c>
      <c r="B2" t="s">
        <v>109</v>
      </c>
      <c r="C2" t="s">
        <v>110</v>
      </c>
      <c r="D2" t="s">
        <v>128</v>
      </c>
      <c r="F2" s="9" t="s">
        <v>107</v>
      </c>
      <c r="G2" t="s">
        <v>109</v>
      </c>
      <c r="H2" t="s">
        <v>111</v>
      </c>
      <c r="J2" s="9" t="s">
        <v>107</v>
      </c>
      <c r="K2" t="s">
        <v>109</v>
      </c>
      <c r="L2" t="s">
        <v>110</v>
      </c>
      <c r="P2" s="9" t="s">
        <v>107</v>
      </c>
      <c r="Q2" t="s">
        <v>109</v>
      </c>
      <c r="R2" t="s">
        <v>110</v>
      </c>
    </row>
    <row r="3" spans="1:18" x14ac:dyDescent="0.35">
      <c r="A3" s="10" t="s">
        <v>20</v>
      </c>
      <c r="B3" s="11">
        <v>9.8522167487684733</v>
      </c>
      <c r="C3" s="12">
        <v>0.48076923076923078</v>
      </c>
      <c r="D3" s="12">
        <v>0.49029126213592233</v>
      </c>
      <c r="F3" s="10" t="s">
        <v>28</v>
      </c>
      <c r="J3" s="10" t="s">
        <v>113</v>
      </c>
      <c r="K3" s="11">
        <v>10.39080459770115</v>
      </c>
      <c r="L3" s="12">
        <v>0.52222222222222225</v>
      </c>
      <c r="P3" s="10" t="s">
        <v>23</v>
      </c>
      <c r="Q3" s="11">
        <v>8</v>
      </c>
      <c r="R3" s="12">
        <v>0.5</v>
      </c>
    </row>
    <row r="4" spans="1:18" x14ac:dyDescent="0.35">
      <c r="A4" s="10" t="s">
        <v>26</v>
      </c>
      <c r="B4" s="11">
        <v>10.869565217391305</v>
      </c>
      <c r="C4" s="12">
        <v>0.55614973262032086</v>
      </c>
      <c r="D4" s="12">
        <v>0.54270270270270271</v>
      </c>
      <c r="F4" s="23" t="s">
        <v>124</v>
      </c>
      <c r="G4" s="11">
        <v>10</v>
      </c>
      <c r="J4" s="10" t="s">
        <v>108</v>
      </c>
      <c r="K4" s="11">
        <v>10.39080459770115</v>
      </c>
      <c r="L4" s="12">
        <v>0.52222222222222225</v>
      </c>
      <c r="P4" s="10" t="s">
        <v>24</v>
      </c>
      <c r="Q4" s="11">
        <v>10.506024096385541</v>
      </c>
      <c r="R4" s="12">
        <v>0.52325581395348841</v>
      </c>
    </row>
    <row r="5" spans="1:18" x14ac:dyDescent="0.35">
      <c r="A5" s="10" t="s">
        <v>108</v>
      </c>
      <c r="B5" s="11">
        <v>10.335917312661499</v>
      </c>
      <c r="C5" s="12">
        <v>0.51645569620253162</v>
      </c>
      <c r="D5" s="12">
        <v>0.51508951406649617</v>
      </c>
      <c r="F5" s="23" t="s">
        <v>125</v>
      </c>
      <c r="G5" s="11">
        <v>9.5</v>
      </c>
      <c r="H5">
        <v>1</v>
      </c>
      <c r="P5" s="10" t="s">
        <v>108</v>
      </c>
      <c r="Q5" s="11">
        <v>10.39080459770115</v>
      </c>
      <c r="R5" s="12">
        <v>0.52222222222222225</v>
      </c>
    </row>
    <row r="6" spans="1:18" x14ac:dyDescent="0.35">
      <c r="F6" s="23" t="s">
        <v>126</v>
      </c>
      <c r="G6" s="11">
        <v>7.4285714285714288</v>
      </c>
      <c r="H6">
        <v>1</v>
      </c>
    </row>
    <row r="7" spans="1:18" x14ac:dyDescent="0.35">
      <c r="F7" s="23" t="s">
        <v>127</v>
      </c>
      <c r="G7" s="11">
        <v>7</v>
      </c>
    </row>
    <row r="8" spans="1:18" x14ac:dyDescent="0.35">
      <c r="F8" s="10" t="s">
        <v>108</v>
      </c>
      <c r="G8" s="11">
        <v>9.4302325581395348</v>
      </c>
      <c r="H8">
        <v>2</v>
      </c>
    </row>
    <row r="34" spans="2:4" x14ac:dyDescent="0.35">
      <c r="B34" s="9" t="s">
        <v>107</v>
      </c>
      <c r="C34" t="s">
        <v>109</v>
      </c>
      <c r="D34" t="s">
        <v>111</v>
      </c>
    </row>
    <row r="35" spans="2:4" x14ac:dyDescent="0.35">
      <c r="B35" s="10" t="s">
        <v>28</v>
      </c>
      <c r="C35" s="11">
        <v>9.4302325581395348</v>
      </c>
      <c r="D35">
        <v>2</v>
      </c>
    </row>
    <row r="36" spans="2:4" x14ac:dyDescent="0.35">
      <c r="B36" s="10" t="s">
        <v>108</v>
      </c>
      <c r="C36" s="11">
        <v>9.4302325581395348</v>
      </c>
      <c r="D36">
        <v>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ADDBED0E-6E4F-4093-834C-37C2D50D7FEB}">
  <ds:schemaRefs/>
</ds:datastoreItem>
</file>

<file path=customXml/itemProps2.xml><?xml version="1.0" encoding="utf-8"?>
<ds:datastoreItem xmlns:ds="http://schemas.openxmlformats.org/officeDocument/2006/customXml" ds:itemID="{3E534FF1-B7C6-4AB8-BB2B-87F02D47FDA5}">
  <ds:schemaRefs/>
</ds:datastoreItem>
</file>

<file path=customXml/itemProps3.xml><?xml version="1.0" encoding="utf-8"?>
<ds:datastoreItem xmlns:ds="http://schemas.openxmlformats.org/officeDocument/2006/customXml" ds:itemID="{95D3F2C7-AEC9-4466-A5E2-EA4BEC4F93C5}">
  <ds:schemaRefs/>
</ds:datastoreItem>
</file>

<file path=customXml/itemProps4.xml><?xml version="1.0" encoding="utf-8"?>
<ds:datastoreItem xmlns:ds="http://schemas.openxmlformats.org/officeDocument/2006/customXml" ds:itemID="{AACDE37D-73FA-4500-858B-F3B2072030B9}">
  <ds:schemaRefs/>
</ds:datastoreItem>
</file>

<file path=customXml/itemProps5.xml><?xml version="1.0" encoding="utf-8"?>
<ds:datastoreItem xmlns:ds="http://schemas.openxmlformats.org/officeDocument/2006/customXml" ds:itemID="{04FC1691-FCC5-4000-9323-131671089589}">
  <ds:schemaRefs/>
</ds:datastoreItem>
</file>

<file path=customXml/itemProps6.xml><?xml version="1.0" encoding="utf-8"?>
<ds:datastoreItem xmlns:ds="http://schemas.openxmlformats.org/officeDocument/2006/customXml" ds:itemID="{22B41B17-DD0F-4001-AAED-571C64E6EE44}">
  <ds:schemaRefs/>
</ds:datastoreItem>
</file>

<file path=customXml/itemProps7.xml><?xml version="1.0" encoding="utf-8"?>
<ds:datastoreItem xmlns:ds="http://schemas.openxmlformats.org/officeDocument/2006/customXml" ds:itemID="{ED492A94-4AC0-4D3A-A927-D98162F8971D}">
  <ds:schemaRefs/>
</ds:datastoreItem>
</file>

<file path=customXml/itemProps8.xml><?xml version="1.0" encoding="utf-8"?>
<ds:datastoreItem xmlns:ds="http://schemas.openxmlformats.org/officeDocument/2006/customXml" ds:itemID="{824A26E0-907F-47AC-A6E5-D9AF270F9896}">
  <ds:schemaRefs>
    <ds:schemaRef ds:uri="http://schemas.microsoft.com/DataMashup"/>
  </ds:schemaRefs>
</ds:datastoreItem>
</file>

<file path=customXml/itemProps9.xml><?xml version="1.0" encoding="utf-8"?>
<ds:datastoreItem xmlns:ds="http://schemas.openxmlformats.org/officeDocument/2006/customXml" ds:itemID="{FBB45DFF-D521-4C83-B007-FAFD81C72A81}">
  <ds:schemaRefs/>
</ds:datastoreItem>
</file>

<file path=customXml/itemProps10.xml><?xml version="1.0" encoding="utf-8"?>
<ds:datastoreItem xmlns:ds="http://schemas.openxmlformats.org/officeDocument/2006/customXml" ds:itemID="{86FF8F45-B8E7-4798-B7E9-567B358C8D48}">
  <ds:schemaRefs/>
</ds:datastoreItem>
</file>

<file path=customXml/itemProps11.xml><?xml version="1.0" encoding="utf-8"?>
<ds:datastoreItem xmlns:ds="http://schemas.openxmlformats.org/officeDocument/2006/customXml" ds:itemID="{FEA22FAB-372C-4760-B1F8-B16D167DAF9E}">
  <ds:schemaRefs/>
</ds:datastoreItem>
</file>

<file path=customXml/itemProps12.xml><?xml version="1.0" encoding="utf-8"?>
<ds:datastoreItem xmlns:ds="http://schemas.openxmlformats.org/officeDocument/2006/customXml" ds:itemID="{6457D62C-D22B-44AA-8316-690E61ECDE5A}">
  <ds:schemaRefs/>
</ds:datastoreItem>
</file>

<file path=customXml/itemProps13.xml><?xml version="1.0" encoding="utf-8"?>
<ds:datastoreItem xmlns:ds="http://schemas.openxmlformats.org/officeDocument/2006/customXml" ds:itemID="{0F977A16-2385-474E-8CB0-1B50C2960AE2}">
  <ds:schemaRefs/>
</ds:datastoreItem>
</file>

<file path=customXml/itemProps14.xml><?xml version="1.0" encoding="utf-8"?>
<ds:datastoreItem xmlns:ds="http://schemas.openxmlformats.org/officeDocument/2006/customXml" ds:itemID="{A29DF9BD-09D8-42DC-AAC6-C057569C1702}">
  <ds:schemaRefs/>
</ds:datastoreItem>
</file>

<file path=customXml/itemProps15.xml><?xml version="1.0" encoding="utf-8"?>
<ds:datastoreItem xmlns:ds="http://schemas.openxmlformats.org/officeDocument/2006/customXml" ds:itemID="{0A7B9B1D-0661-4D39-9897-26F9BADF786A}">
  <ds:schemaRefs/>
</ds:datastoreItem>
</file>

<file path=customXml/itemProps16.xml><?xml version="1.0" encoding="utf-8"?>
<ds:datastoreItem xmlns:ds="http://schemas.openxmlformats.org/officeDocument/2006/customXml" ds:itemID="{B22F72D5-DD0F-4690-93B2-9AE4BB2CC698}">
  <ds:schemaRefs/>
</ds:datastoreItem>
</file>

<file path=customXml/itemProps17.xml><?xml version="1.0" encoding="utf-8"?>
<ds:datastoreItem xmlns:ds="http://schemas.openxmlformats.org/officeDocument/2006/customXml" ds:itemID="{F7098E1E-F844-4236-81FE-7E8CA64743C7}">
  <ds:schemaRefs/>
</ds:datastoreItem>
</file>

<file path=customXml/itemProps18.xml><?xml version="1.0" encoding="utf-8"?>
<ds:datastoreItem xmlns:ds="http://schemas.openxmlformats.org/officeDocument/2006/customXml" ds:itemID="{F4E1634B-EAD3-49C9-AA1E-D048362ED041}">
  <ds:schemaRefs/>
</ds:datastoreItem>
</file>

<file path=customXml/itemProps19.xml><?xml version="1.0" encoding="utf-8"?>
<ds:datastoreItem xmlns:ds="http://schemas.openxmlformats.org/officeDocument/2006/customXml" ds:itemID="{C7934D86-37E5-45B7-A75B-93A34F41CCAE}">
  <ds:schemaRefs/>
</ds:datastoreItem>
</file>

<file path=customXml/itemProps20.xml><?xml version="1.0" encoding="utf-8"?>
<ds:datastoreItem xmlns:ds="http://schemas.openxmlformats.org/officeDocument/2006/customXml" ds:itemID="{5A78F0CE-82AA-434B-B6CF-F4E251D7F475}">
  <ds:schemaRefs/>
</ds:datastoreItem>
</file>

<file path=customXml/itemProps21.xml><?xml version="1.0" encoding="utf-8"?>
<ds:datastoreItem xmlns:ds="http://schemas.openxmlformats.org/officeDocument/2006/customXml" ds:itemID="{F80BB74E-C8E4-436A-9BE0-421F5457E23C}">
  <ds:schemaRefs/>
</ds:datastoreItem>
</file>

<file path=customXml/itemProps22.xml><?xml version="1.0" encoding="utf-8"?>
<ds:datastoreItem xmlns:ds="http://schemas.openxmlformats.org/officeDocument/2006/customXml" ds:itemID="{C64367FE-E25C-46DD-B1F1-8177E3D26BD0}">
  <ds:schemaRefs/>
</ds:datastoreItem>
</file>

<file path=customXml/itemProps23.xml><?xml version="1.0" encoding="utf-8"?>
<ds:datastoreItem xmlns:ds="http://schemas.openxmlformats.org/officeDocument/2006/customXml" ds:itemID="{BD2B44D0-4F5A-4F62-AC8D-7DFF863D5199}">
  <ds:schemaRefs/>
</ds:datastoreItem>
</file>

<file path=customXml/itemProps24.xml><?xml version="1.0" encoding="utf-8"?>
<ds:datastoreItem xmlns:ds="http://schemas.openxmlformats.org/officeDocument/2006/customXml" ds:itemID="{D3012250-FFDB-41A9-9108-B39F41E226F1}">
  <ds:schemaRefs/>
</ds:datastoreItem>
</file>

<file path=customXml/itemProps25.xml><?xml version="1.0" encoding="utf-8"?>
<ds:datastoreItem xmlns:ds="http://schemas.openxmlformats.org/officeDocument/2006/customXml" ds:itemID="{388E4CF4-73EA-4944-83DE-4D44AFA8AD31}">
  <ds:schemaRefs/>
</ds:datastoreItem>
</file>

<file path=customXml/itemProps26.xml><?xml version="1.0" encoding="utf-8"?>
<ds:datastoreItem xmlns:ds="http://schemas.openxmlformats.org/officeDocument/2006/customXml" ds:itemID="{E873ABA0-94CF-4CA7-9CCC-E974E911DA6D}">
  <ds:schemaRefs/>
</ds:datastoreItem>
</file>

<file path=customXml/itemProps27.xml><?xml version="1.0" encoding="utf-8"?>
<ds:datastoreItem xmlns:ds="http://schemas.openxmlformats.org/officeDocument/2006/customXml" ds:itemID="{AF13602E-FAC7-4B4E-A556-56ED54E4E8AD}">
  <ds:schemaRefs/>
</ds:datastoreItem>
</file>

<file path=customXml/itemProps28.xml><?xml version="1.0" encoding="utf-8"?>
<ds:datastoreItem xmlns:ds="http://schemas.openxmlformats.org/officeDocument/2006/customXml" ds:itemID="{7FD584A4-80DA-4544-B4DD-FD3694263442}">
  <ds:schemaRefs/>
</ds:datastoreItem>
</file>

<file path=customXml/itemProps29.xml><?xml version="1.0" encoding="utf-8"?>
<ds:datastoreItem xmlns:ds="http://schemas.openxmlformats.org/officeDocument/2006/customXml" ds:itemID="{F233C4E6-A85B-4892-ABC6-A356DD350A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students</vt:lpstr>
      <vt:lpstr>grades</vt:lpstr>
      <vt:lpstr>lifestyle</vt:lpstr>
      <vt:lpstr>family_background</vt:lpstr>
      <vt:lpstr>school_life</vt:lpstr>
      <vt:lpstr>schools</vt:lpstr>
      <vt:lpstr>Data &amp; Logs</vt:lpstr>
      <vt:lpstr>Analysis</vt:lpstr>
      <vt:lpstr>WhatIf_Analysis</vt:lpstr>
      <vt:lpstr>Charts</vt:lpstr>
      <vt:lpstr>Dashboard</vt:lpstr>
      <vt:lpstr>Pivot_Source</vt:lpstr>
      <vt:lpstr>FinalGrades</vt:lpstr>
      <vt:lpstr>StudentAbsences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AXEL MARVIO DJATMIKO</dc:creator>
  <cp:lastModifiedBy>Juan Benedict</cp:lastModifiedBy>
  <dcterms:created xsi:type="dcterms:W3CDTF">2026-06-03T13:15:52Z</dcterms:created>
  <dcterms:modified xsi:type="dcterms:W3CDTF">2026-10-27T14:59:06Z</dcterms:modified>
</cp:coreProperties>
</file>